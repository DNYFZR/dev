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\Documents\"/>
    </mc:Choice>
  </mc:AlternateContent>
  <xr:revisionPtr revIDLastSave="0" documentId="13_ncr:1_{39329B3A-1B46-4CFF-A56A-85B4040DE03C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Mass Balance" sheetId="1" r:id="rId1"/>
    <sheet name="Energy Balance" sheetId="12" r:id="rId2"/>
    <sheet name="AD-CHP" sheetId="3" r:id="rId3"/>
    <sheet name="AS Plant (DF)" sheetId="7" r:id="rId4"/>
    <sheet name="P-RTC Model" sheetId="13" r:id="rId5"/>
    <sheet name="SRT Control" sheetId="14" r:id="rId6"/>
    <sheet name="STC" sheetId="2" r:id="rId7"/>
    <sheet name="Pumps" sheetId="5" r:id="rId8"/>
    <sheet name="Oxygen Data" sheetId="8" r:id="rId9"/>
    <sheet name="Phosphate Treatment" sheetId="6" r:id="rId10"/>
    <sheet name="ASP" sheetId="4" r:id="rId11"/>
  </sheets>
  <externalReferences>
    <externalReference r:id="rId12"/>
    <externalReference r:id="rId13"/>
    <externalReference r:id="rId14"/>
    <externalReference r:id="rId15"/>
  </externalReferences>
  <definedNames>
    <definedName name="__123Graph_A" hidden="1">[1]Massflux!$K$14:$K$164</definedName>
    <definedName name="__123Graph_B" hidden="1">[1]Massflux!$L$14:$L$164</definedName>
    <definedName name="__123Graph_C" hidden="1">[1]Massflux!$O$14:$O$164</definedName>
    <definedName name="__123Graph_D" hidden="1">[1]Massflux!$R$14:$R$34</definedName>
    <definedName name="__123Graph_E" hidden="1">[1]Massflux!$S$14:$S$25</definedName>
    <definedName name="__123Graph_F" hidden="1">[1]Massflux!$T$14:$T$25</definedName>
    <definedName name="__123Graph_X" hidden="1">[1]Massflux!$J$14:$J$164</definedName>
    <definedName name="_1__123Graph_AMASS_FLUX" hidden="1">[1]Massflux!$K$14:$K$164</definedName>
    <definedName name="_2__123Graph_BMASS_FLUX" hidden="1">[1]Massflux!$L$14:$L$164</definedName>
    <definedName name="_3__123Graph_CMASS_FLUX" hidden="1">[1]Massflux!$O$14:$O$164</definedName>
    <definedName name="_4__123Graph_DMASS_FLUX" hidden="1">[1]Massflux!$R$14:$R$34</definedName>
    <definedName name="_5__123Graph_EMASS_FLUX" hidden="1">[1]Massflux!$S$14:$S$25</definedName>
    <definedName name="_6__123Graph_FMASS_FLUX" hidden="1">[1]Massflux!$T$14:$T$25</definedName>
    <definedName name="_7__123Graph_XMASS_FLUX" hidden="1">[1]Massflux!$J$14:$J$164</definedName>
    <definedName name="_Fill" hidden="1">[1]Massflux!$J$14:$J$164</definedName>
    <definedName name="Accessibility" localSheetId="10">[2]Lists!$C$3:$C$7</definedName>
    <definedName name="Accessibility">[3]Lists!$C$3:$C$7</definedName>
    <definedName name="Alkalinity">'Phosphate Treatment'!$B$20</definedName>
    <definedName name="AlRatio" localSheetId="9">'Phosphate Treatment'!$B$64</definedName>
    <definedName name="AlRatio">#REF!</definedName>
    <definedName name="AlumAcid">#REF!</definedName>
    <definedName name="AlumDil">#REF!</definedName>
    <definedName name="AtoPAlum" localSheetId="9">'Phosphate Treatment'!$D$48</definedName>
    <definedName name="AtoPAlum">#REF!</definedName>
    <definedName name="AtoPNaAluminate" localSheetId="9">'Phosphate Treatment'!$D$49</definedName>
    <definedName name="AtoPNaAluminate">#REF!</definedName>
    <definedName name="AtoPPAC" localSheetId="9">'Phosphate Treatment'!$D$50</definedName>
    <definedName name="AtoPPAC">#REF!</definedName>
    <definedName name="ByChangingCell">'AS Plant (DF)'!$G$29</definedName>
    <definedName name="DenseAlum" localSheetId="9">'Phosphate Treatment'!$I$7</definedName>
    <definedName name="DenseAlum">#REF!</definedName>
    <definedName name="DenseFeCl2" localSheetId="9">'Phosphate Treatment'!$I$10</definedName>
    <definedName name="DenseFeCl2">#REF!</definedName>
    <definedName name="DenseFeSO4" localSheetId="9">'Phosphate Treatment'!$I$11</definedName>
    <definedName name="DenseFeSO4">#REF!</definedName>
    <definedName name="DenseNaAluminate" localSheetId="9">'Phosphate Treatment'!$I$8</definedName>
    <definedName name="DenseNaAluminate">#REF!</definedName>
    <definedName name="DensePAC" localSheetId="9">'Phosphate Treatment'!$I$9</definedName>
    <definedName name="DensePAC">#REF!</definedName>
    <definedName name="DO" localSheetId="10">#REF!</definedName>
    <definedName name="DO">[4]Tables!$B$11:$E$51</definedName>
    <definedName name="DOO" localSheetId="10">#REF!</definedName>
    <definedName name="DOO">#REF!</definedName>
    <definedName name="ERITEAM" localSheetId="10">[2]Lists!$A$3:$A$32</definedName>
    <definedName name="ERITEAM">[3]Lists!$A$3:$A$32</definedName>
    <definedName name="FeRatio" localSheetId="9">'Phosphate Treatment'!$B$63</definedName>
    <definedName name="FeRatio">#REF!</definedName>
    <definedName name="FerricAcid">#REF!</definedName>
    <definedName name="FerricDil">#REF!</definedName>
    <definedName name="FetoFeCl2" localSheetId="9">'Phosphate Treatment'!$D$51</definedName>
    <definedName name="FetoFeCl2">#REF!</definedName>
    <definedName name="FetoFeSO4" localSheetId="9">'Phosphate Treatment'!$D$52</definedName>
    <definedName name="FetoFeSO4">#REF!</definedName>
    <definedName name="g_to_kg">'Phosphate Treatment'!$F$42</definedName>
    <definedName name="GoalSeekCell">'AS Plant (DF)'!$I$45</definedName>
    <definedName name="HTML_CodePage" hidden="1">1252</definedName>
    <definedName name="HTML_Control" hidden="1">{"'Berechnung (2)'!$A$1:$E$113","'Berechnung (2)'!$A$1:$E$113","'Berechnung (2)'!$A$15:$F$20"}</definedName>
    <definedName name="HTML_Description" hidden="1">""</definedName>
    <definedName name="HTML_Email" hidden="1">""</definedName>
    <definedName name="HTML_Header" hidden="1">"Berechnung (2)"</definedName>
    <definedName name="HTML_LastUpdate" hidden="1">"27.06.02"</definedName>
    <definedName name="HTML_LineAfter" hidden="1">FALSE</definedName>
    <definedName name="HTML_LineBefore" hidden="1">FALSE</definedName>
    <definedName name="HTML_Name" hidden="1">"Her Dr. Haeck"</definedName>
    <definedName name="HTML_OBDlg2" hidden="1">TRUE</definedName>
    <definedName name="HTML_OBDlg4" hidden="1">TRUE</definedName>
    <definedName name="HTML_OS" hidden="1">0</definedName>
    <definedName name="HTML_PathFile" hidden="1">"C:\haeck\MeinHTML.htm"</definedName>
    <definedName name="HTML_Title" hidden="1">"P-Fällung4"</definedName>
    <definedName name="JarVol">#REF!</definedName>
    <definedName name="LpKgAlum" localSheetId="9">'Phosphate Treatment'!$B$69</definedName>
    <definedName name="LpKgAlum">#REF!</definedName>
    <definedName name="LpKgFeCl2" localSheetId="9">'Phosphate Treatment'!$B$72</definedName>
    <definedName name="LpKgFeCl2">#REF!</definedName>
    <definedName name="LpKgFeSO4" localSheetId="9">'Phosphate Treatment'!$B$73</definedName>
    <definedName name="LpKgFeSO4">#REF!</definedName>
    <definedName name="LpKgNaAluminate" localSheetId="9">'Phosphate Treatment'!$B$70</definedName>
    <definedName name="LpKgNaAluminate">#REF!</definedName>
    <definedName name="LpKgPAC" localSheetId="9">'Phosphate Treatment'!$B$71</definedName>
    <definedName name="LpKgPAC">#REF!</definedName>
    <definedName name="Master_Results" localSheetId="10">#REF!</definedName>
    <definedName name="Master_Results">#REF!</definedName>
    <definedName name="Me_to_P_Ratio">'Phosphate Treatment'!$B$56</definedName>
    <definedName name="MeLAlum" localSheetId="9">'Phosphate Treatment'!$F$48</definedName>
    <definedName name="MeLAlum">#REF!</definedName>
    <definedName name="MeLFeCl2" localSheetId="9">'Phosphate Treatment'!$F$51</definedName>
    <definedName name="MeLFeCl2">#REF!</definedName>
    <definedName name="MeLFeSO4" localSheetId="9">'Phosphate Treatment'!$F$52</definedName>
    <definedName name="MeLFeSO4">#REF!</definedName>
    <definedName name="MeLNaAluminate" localSheetId="9">'Phosphate Treatment'!$F$49</definedName>
    <definedName name="MeLNaAluminate">#REF!</definedName>
    <definedName name="MeLPAC" localSheetId="9">'Phosphate Treatment'!$F$50</definedName>
    <definedName name="MeLPAC">#REF!</definedName>
    <definedName name="mg_to_grams" localSheetId="9">'Phosphate Treatment'!$F$41</definedName>
    <definedName name="mg_to_grams">#REF!</definedName>
    <definedName name="MWAl" localSheetId="9">'Phosphate Treatment'!$B$24</definedName>
    <definedName name="MWAl">#REF!</definedName>
    <definedName name="MWAlum" localSheetId="9">'Phosphate Treatment'!$C$7</definedName>
    <definedName name="MWAlum">#REF!</definedName>
    <definedName name="MWCa" localSheetId="9">'Phosphate Treatment'!$B$25</definedName>
    <definedName name="MWCa">#REF!</definedName>
    <definedName name="MWCl" localSheetId="9">'Phosphate Treatment'!$B$26</definedName>
    <definedName name="MWCl">#REF!</definedName>
    <definedName name="MWFe" localSheetId="9">'Phosphate Treatment'!$B$27</definedName>
    <definedName name="MWFe">#REF!</definedName>
    <definedName name="MWFerricCl" localSheetId="9">'Phosphate Treatment'!$C$10</definedName>
    <definedName name="MWFerricCl">#REF!</definedName>
    <definedName name="MWFerricSO4" localSheetId="9">'Phosphate Treatment'!$C$11</definedName>
    <definedName name="MWFerricSO4">#REF!</definedName>
    <definedName name="MWH" localSheetId="9">'Phosphate Treatment'!$B$28</definedName>
    <definedName name="MWH">#REF!</definedName>
    <definedName name="MWLime" localSheetId="9">'Phosphate Treatment'!$C$12</definedName>
    <definedName name="MWLime">#REF!</definedName>
    <definedName name="MWNa" localSheetId="9">'Phosphate Treatment'!$B$29</definedName>
    <definedName name="MWNa">#REF!</definedName>
    <definedName name="MWO" localSheetId="9">'Phosphate Treatment'!$B$30</definedName>
    <definedName name="MWO">#REF!</definedName>
    <definedName name="MWP" localSheetId="9">'Phosphate Treatment'!$B$31</definedName>
    <definedName name="MWP">#REF!</definedName>
    <definedName name="MWPAC" localSheetId="9">'Phosphate Treatment'!$C$9</definedName>
    <definedName name="MWPAC">#REF!</definedName>
    <definedName name="MWS" localSheetId="9">'Phosphate Treatment'!$B$32</definedName>
    <definedName name="MWS">#REF!</definedName>
    <definedName name="MWSlaked" localSheetId="9">'Phosphate Treatment'!$C$13</definedName>
    <definedName name="MWSlaked">#REF!</definedName>
    <definedName name="MWSodiumAluminate" localSheetId="9">'Phosphate Treatment'!$C$8</definedName>
    <definedName name="MWSodiumAluminate">#REF!</definedName>
    <definedName name="Peff" localSheetId="9">'Phosphate Treatment'!$B$22</definedName>
    <definedName name="Peff">#REF!</definedName>
    <definedName name="percent_to_mgperliter" localSheetId="9">'Phosphate Treatment'!$F$40</definedName>
    <definedName name="percent_to_mgperliter">#REF!</definedName>
    <definedName name="PercentAlum" localSheetId="9">'Phosphate Treatment'!$F$7</definedName>
    <definedName name="PercentAlum">#REF!</definedName>
    <definedName name="PercentFeCl2" localSheetId="9">'Phosphate Treatment'!$F$10</definedName>
    <definedName name="PercentFeCl2">#REF!</definedName>
    <definedName name="PercentFeSO4" localSheetId="9">'Phosphate Treatment'!$F$11</definedName>
    <definedName name="PercentFeSO4">#REF!</definedName>
    <definedName name="PercentNaAluminate" localSheetId="9">'Phosphate Treatment'!$F$8</definedName>
    <definedName name="PercentNaAluminate">#REF!</definedName>
    <definedName name="PercentPAC" localSheetId="9">'Phosphate Treatment'!$F$9</definedName>
    <definedName name="PercentPAC">#REF!</definedName>
    <definedName name="Pini" localSheetId="9">'Phosphate Treatment'!$B$21</definedName>
    <definedName name="Pini">#REF!</definedName>
    <definedName name="_xlnm.Print_Area" localSheetId="9">'Phosphate Treatment'!$A$1:$J$103</definedName>
    <definedName name="_xlnm.Print_Area" localSheetId="4">'P-RTC Model'!$A$1:$J$49</definedName>
    <definedName name="print1a4" localSheetId="10">#REF!</definedName>
    <definedName name="print1a4">#REF!</definedName>
    <definedName name="print2a4" localSheetId="10">#REF!</definedName>
    <definedName name="print2a4">#REF!</definedName>
    <definedName name="print4a4" localSheetId="10">#REF!</definedName>
    <definedName name="print4a4">#REF!</definedName>
    <definedName name="printa2" localSheetId="10">#REF!</definedName>
    <definedName name="printa2">#REF!</definedName>
    <definedName name="printa22" localSheetId="10">#REF!</definedName>
    <definedName name="printa22">#REF!</definedName>
    <definedName name="PRINTA4" localSheetId="10">#REF!</definedName>
    <definedName name="PRINTA4">#REF!</definedName>
    <definedName name="printa41" localSheetId="10">#REF!</definedName>
    <definedName name="printa41">#REF!</definedName>
    <definedName name="printa42" localSheetId="10">#REF!</definedName>
    <definedName name="printa42">#REF!</definedName>
    <definedName name="printa43" localSheetId="10">#REF!</definedName>
    <definedName name="printa43">#REF!</definedName>
    <definedName name="printa44" localSheetId="10">#REF!</definedName>
    <definedName name="printa44">#REF!</definedName>
    <definedName name="Qinf" localSheetId="9">'Phosphate Treatment'!$B$19</definedName>
    <definedName name="Qinf">#REF!</definedName>
    <definedName name="Qinf_metric">'Phosphate Treatment'!#REF!</definedName>
    <definedName name="QinfMetric" localSheetId="9">'Phosphate Treatment'!$C$77</definedName>
    <definedName name="QinfMetric">#REF!</definedName>
    <definedName name="solver_adj" localSheetId="3" hidden="1">'AS Plant (DF)'!$G$28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'AS Plant (DF)'!$G$29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1</definedName>
    <definedName name="solver_nwt" localSheetId="3" hidden="1">1</definedName>
    <definedName name="solver_opt" localSheetId="3" hidden="1">'AS Plant (DF)'!$G$42</definedName>
    <definedName name="solver_pre" localSheetId="3" hidden="1">0.000001</definedName>
    <definedName name="solver_rbv" localSheetId="3" hidden="1">1</definedName>
    <definedName name="solver_rel1" localSheetId="3" hidden="1">2</definedName>
    <definedName name="solver_rhs1" localSheetId="3" hidden="1">'AS Plant (DF)'!$G$45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2750</definedName>
    <definedName name="solver_ver" localSheetId="3" hidden="1">3</definedName>
    <definedName name="TargetCell">'AS Plant (DF)'!$G$45</definedName>
    <definedName name="warning">"Edit Box 4"</definedName>
    <definedName name="WeightAlum" localSheetId="9">'Phosphate Treatment'!$B$39</definedName>
    <definedName name="WeightAlum">#REF!</definedName>
    <definedName name="WeightFeCl2" localSheetId="9">'Phosphate Treatment'!$B$42</definedName>
    <definedName name="WeightFeCl2">#REF!</definedName>
    <definedName name="WeightFeSO4" localSheetId="9">'Phosphate Treatment'!$B$43</definedName>
    <definedName name="WeightFeSO4">#REF!</definedName>
    <definedName name="WeightNaAluminate" localSheetId="9">'Phosphate Treatment'!$B$40</definedName>
    <definedName name="WeightNaAluminate">#REF!</definedName>
    <definedName name="WeightPAC" localSheetId="9">'Phosphate Treatment'!$B$41</definedName>
    <definedName name="WeightPAC">#REF!</definedName>
  </definedNames>
  <calcPr calcId="191029"/>
</workbook>
</file>

<file path=xl/calcChain.xml><?xml version="1.0" encoding="utf-8"?>
<calcChain xmlns="http://schemas.openxmlformats.org/spreadsheetml/2006/main">
  <c r="L30" i="7" l="1"/>
  <c r="G24" i="7"/>
  <c r="G23" i="7"/>
  <c r="G22" i="7"/>
  <c r="G21" i="7"/>
  <c r="G19" i="7"/>
  <c r="G17" i="7"/>
  <c r="G15" i="7"/>
  <c r="B24" i="7"/>
  <c r="C30" i="7"/>
  <c r="C27" i="7"/>
  <c r="H24" i="14"/>
  <c r="H23" i="14"/>
  <c r="H22" i="14"/>
  <c r="H21" i="14"/>
  <c r="H20" i="14"/>
  <c r="H19" i="14"/>
  <c r="H18" i="14"/>
  <c r="H17" i="14"/>
  <c r="H16" i="14"/>
  <c r="H15" i="14"/>
  <c r="H14" i="14"/>
  <c r="H13" i="14"/>
  <c r="H12" i="14"/>
  <c r="H11" i="14"/>
  <c r="H10" i="14"/>
  <c r="H9" i="14"/>
  <c r="H8" i="14"/>
  <c r="H7" i="14"/>
  <c r="F7" i="14"/>
  <c r="I7" i="14"/>
  <c r="F8" i="14"/>
  <c r="I8" i="14"/>
  <c r="F9" i="14"/>
  <c r="I9" i="14"/>
  <c r="F10" i="14"/>
  <c r="I10" i="14"/>
  <c r="F11" i="14"/>
  <c r="I11" i="14"/>
  <c r="F12" i="14"/>
  <c r="I12" i="14"/>
  <c r="F13" i="14"/>
  <c r="I13" i="14"/>
  <c r="F14" i="14"/>
  <c r="I14" i="14"/>
  <c r="F15" i="14"/>
  <c r="I15" i="14"/>
  <c r="F16" i="14"/>
  <c r="I16" i="14"/>
  <c r="F17" i="14"/>
  <c r="I17" i="14"/>
  <c r="F18" i="14"/>
  <c r="I18" i="14"/>
  <c r="F19" i="14"/>
  <c r="I19" i="14"/>
  <c r="F20" i="14"/>
  <c r="I20" i="14"/>
  <c r="F21" i="14"/>
  <c r="I21" i="14"/>
  <c r="F22" i="14"/>
  <c r="I22" i="14"/>
  <c r="F23" i="14"/>
  <c r="I23" i="14"/>
  <c r="F24" i="14"/>
  <c r="I24" i="14"/>
  <c r="C31" i="13" l="1"/>
  <c r="C32" i="13" s="1"/>
  <c r="G8" i="13"/>
  <c r="H8" i="13"/>
  <c r="H9" i="13"/>
  <c r="H7" i="13"/>
  <c r="G10" i="13"/>
  <c r="G9" i="13"/>
  <c r="C40" i="1"/>
  <c r="C38" i="1"/>
  <c r="B33" i="1"/>
  <c r="B32" i="1"/>
  <c r="B31" i="1"/>
  <c r="B30" i="1"/>
  <c r="B29" i="1"/>
  <c r="D27" i="1"/>
  <c r="E27" i="1" s="1"/>
  <c r="D23" i="1"/>
  <c r="E23" i="1" s="1"/>
  <c r="D22" i="1"/>
  <c r="E22" i="1" s="1"/>
  <c r="D21" i="1"/>
  <c r="E21" i="1" s="1"/>
  <c r="D20" i="1"/>
  <c r="E20" i="1" s="1"/>
  <c r="D19" i="1"/>
  <c r="E19" i="1" s="1"/>
  <c r="J19" i="1" s="1"/>
  <c r="G12" i="13" l="1"/>
  <c r="E29" i="1"/>
  <c r="D32" i="1"/>
  <c r="L23" i="1"/>
  <c r="L33" i="1" s="1"/>
  <c r="J27" i="1"/>
  <c r="F27" i="1" s="1"/>
  <c r="E32" i="1"/>
  <c r="E33" i="1"/>
  <c r="D25" i="1"/>
  <c r="D30" i="1"/>
  <c r="L20" i="1"/>
  <c r="L30" i="1" s="1"/>
  <c r="L22" i="1"/>
  <c r="L32" i="1" s="1"/>
  <c r="D29" i="1"/>
  <c r="D31" i="1"/>
  <c r="D33" i="1"/>
  <c r="B25" i="13"/>
  <c r="B26" i="13" s="1"/>
  <c r="B31" i="13"/>
  <c r="B32" i="13" s="1"/>
  <c r="C36" i="13"/>
  <c r="B36" i="13"/>
  <c r="C47" i="13"/>
  <c r="B47" i="13"/>
  <c r="L19" i="1" l="1"/>
  <c r="L29" i="1" s="1"/>
  <c r="E30" i="1"/>
  <c r="G27" i="1"/>
  <c r="E31" i="1"/>
  <c r="L21" i="1"/>
  <c r="L31" i="1" s="1"/>
  <c r="E25" i="1"/>
  <c r="F46" i="1" l="1"/>
  <c r="G22" i="1" s="1"/>
  <c r="F44" i="1"/>
  <c r="G20" i="1" s="1"/>
  <c r="F47" i="1"/>
  <c r="G23" i="1" s="1"/>
  <c r="F45" i="1"/>
  <c r="G21" i="1" s="1"/>
  <c r="F43" i="1"/>
  <c r="L25" i="1"/>
  <c r="E26" i="1" s="1"/>
  <c r="C40" i="13"/>
  <c r="C44" i="13" s="1"/>
  <c r="B40" i="13"/>
  <c r="B44" i="13" s="1"/>
  <c r="H32" i="13"/>
  <c r="G19" i="13"/>
  <c r="G22" i="13"/>
  <c r="G14" i="13"/>
  <c r="G25" i="13"/>
  <c r="H25" i="13"/>
  <c r="I25" i="13"/>
  <c r="B23" i="13"/>
  <c r="B27" i="13" s="1"/>
  <c r="I21" i="1" l="1"/>
  <c r="H21" i="1"/>
  <c r="H23" i="1"/>
  <c r="I23" i="1"/>
  <c r="I20" i="1"/>
  <c r="H20" i="1"/>
  <c r="G30" i="1"/>
  <c r="G33" i="1"/>
  <c r="G32" i="1"/>
  <c r="H22" i="1"/>
  <c r="G31" i="1"/>
  <c r="B45" i="13"/>
  <c r="B37" i="13"/>
  <c r="B38" i="13"/>
  <c r="B42" i="13" s="1"/>
  <c r="B28" i="13"/>
  <c r="C38" i="13"/>
  <c r="C42" i="13" s="1"/>
  <c r="C37" i="13"/>
  <c r="C41" i="13" s="1"/>
  <c r="J21" i="1" l="1"/>
  <c r="K20" i="1"/>
  <c r="J20" i="1"/>
  <c r="J23" i="1"/>
  <c r="K23" i="1" s="1"/>
  <c r="I22" i="1"/>
  <c r="C45" i="13"/>
  <c r="C46" i="13" s="1"/>
  <c r="C48" i="13" s="1"/>
  <c r="B46" i="13"/>
  <c r="B48" i="13" s="1"/>
  <c r="B41" i="13"/>
  <c r="G45" i="1" l="1"/>
  <c r="H45" i="1" s="1"/>
  <c r="J31" i="1"/>
  <c r="F21" i="1"/>
  <c r="K21" i="1"/>
  <c r="J30" i="1"/>
  <c r="G44" i="1"/>
  <c r="H44" i="1" s="1"/>
  <c r="F20" i="1"/>
  <c r="J33" i="1"/>
  <c r="G47" i="1"/>
  <c r="H47" i="1" s="1"/>
  <c r="F23" i="1"/>
  <c r="F33" i="1" s="1"/>
  <c r="J22" i="1"/>
  <c r="H26" i="13"/>
  <c r="G26" i="13"/>
  <c r="B18" i="13"/>
  <c r="H11" i="6"/>
  <c r="H3" i="7"/>
  <c r="F30" i="1" l="1"/>
  <c r="D51" i="1"/>
  <c r="D66" i="1" s="1"/>
  <c r="F31" i="1"/>
  <c r="D52" i="1"/>
  <c r="D67" i="1" s="1"/>
  <c r="J26" i="13"/>
  <c r="J32" i="1"/>
  <c r="F22" i="1"/>
  <c r="G46" i="1"/>
  <c r="H46" i="1" s="1"/>
  <c r="K22" i="1"/>
  <c r="G27" i="13"/>
  <c r="J27" i="13" s="1"/>
  <c r="G28" i="13"/>
  <c r="J28" i="13" s="1"/>
  <c r="B34" i="7"/>
  <c r="B36" i="7" s="1"/>
  <c r="L5" i="7"/>
  <c r="B11" i="7"/>
  <c r="L13" i="7"/>
  <c r="G18" i="7"/>
  <c r="L23" i="7"/>
  <c r="C28" i="7"/>
  <c r="H4" i="7" s="1"/>
  <c r="C29" i="7"/>
  <c r="H5" i="7" s="1"/>
  <c r="H6" i="7"/>
  <c r="G31" i="7" l="1"/>
  <c r="G30" i="7"/>
  <c r="F32" i="1"/>
  <c r="D53" i="1"/>
  <c r="D68" i="1" s="1"/>
  <c r="G29" i="13"/>
  <c r="B41" i="7"/>
  <c r="B43" i="7" s="1"/>
  <c r="B37" i="7"/>
  <c r="B38" i="7" s="1"/>
  <c r="G39" i="7" s="1"/>
  <c r="L20" i="7"/>
  <c r="L22" i="7" s="1"/>
  <c r="L31" i="7" s="1"/>
  <c r="H8" i="7"/>
  <c r="H9" i="7" s="1"/>
  <c r="C18" i="7" s="1"/>
  <c r="C31" i="7"/>
  <c r="B48" i="7" l="1"/>
  <c r="B45" i="7"/>
  <c r="I26" i="13"/>
  <c r="L32" i="7"/>
  <c r="L10" i="7"/>
  <c r="L11" i="7" s="1"/>
  <c r="L26" i="7" s="1"/>
  <c r="L27" i="7" s="1"/>
  <c r="H27" i="13" l="1"/>
  <c r="H28" i="13"/>
  <c r="L29" i="7"/>
  <c r="L34" i="7"/>
  <c r="H29" i="13" l="1"/>
  <c r="I27" i="13"/>
  <c r="I28" i="13"/>
  <c r="L36" i="7"/>
  <c r="L35" i="7"/>
  <c r="I29" i="13" l="1"/>
  <c r="G32" i="13" s="1"/>
  <c r="G34" i="13" s="1"/>
  <c r="J29" i="13"/>
  <c r="G33" i="13" s="1"/>
  <c r="E82" i="6"/>
  <c r="C77" i="6"/>
  <c r="B64" i="6"/>
  <c r="B63" i="6"/>
  <c r="A60" i="6"/>
  <c r="B52" i="6"/>
  <c r="B51" i="6"/>
  <c r="C50" i="6"/>
  <c r="B50" i="6"/>
  <c r="D50" i="6" s="1"/>
  <c r="B49" i="6"/>
  <c r="A49" i="6"/>
  <c r="A70" i="6" s="1"/>
  <c r="A84" i="6" s="1"/>
  <c r="A96" i="6" s="1"/>
  <c r="B48" i="6"/>
  <c r="A48" i="6"/>
  <c r="A69" i="6" s="1"/>
  <c r="A83" i="6" s="1"/>
  <c r="A95" i="6" s="1"/>
  <c r="B43" i="6"/>
  <c r="A43" i="6"/>
  <c r="A52" i="6" s="1"/>
  <c r="A73" i="6" s="1"/>
  <c r="A87" i="6" s="1"/>
  <c r="A99" i="6" s="1"/>
  <c r="B42" i="6"/>
  <c r="A42" i="6"/>
  <c r="A51" i="6" s="1"/>
  <c r="A72" i="6" s="1"/>
  <c r="A86" i="6" s="1"/>
  <c r="A98" i="6" s="1"/>
  <c r="B41" i="6"/>
  <c r="A41" i="6"/>
  <c r="A50" i="6" s="1"/>
  <c r="A71" i="6" s="1"/>
  <c r="A85" i="6" s="1"/>
  <c r="A97" i="6" s="1"/>
  <c r="B40" i="6"/>
  <c r="A40" i="6"/>
  <c r="B39" i="6"/>
  <c r="C13" i="6"/>
  <c r="C12" i="6"/>
  <c r="C11" i="6"/>
  <c r="C52" i="6" s="1"/>
  <c r="H10" i="6"/>
  <c r="C10" i="6"/>
  <c r="C51" i="6" s="1"/>
  <c r="D51" i="6" s="1"/>
  <c r="H9" i="6"/>
  <c r="H8" i="6"/>
  <c r="C8" i="6"/>
  <c r="C49" i="6" s="1"/>
  <c r="H7" i="6"/>
  <c r="F7" i="6"/>
  <c r="C7" i="6"/>
  <c r="C48" i="6" s="1"/>
  <c r="B33" i="3"/>
  <c r="B24" i="3"/>
  <c r="B22" i="3"/>
  <c r="C13" i="3"/>
  <c r="B13" i="3"/>
  <c r="B6" i="3"/>
  <c r="B37" i="3" s="1"/>
  <c r="B39" i="3" s="1"/>
  <c r="B40" i="3" l="1"/>
  <c r="B15" i="3"/>
  <c r="B19" i="3" s="1"/>
  <c r="D48" i="6"/>
  <c r="F48" i="6" s="1"/>
  <c r="B69" i="6" s="1"/>
  <c r="B83" i="6" s="1"/>
  <c r="C83" i="6" s="1"/>
  <c r="E83" i="6" s="1"/>
  <c r="B95" i="6" s="1"/>
  <c r="C95" i="6" s="1"/>
  <c r="F50" i="6"/>
  <c r="B71" i="6" s="1"/>
  <c r="B85" i="6" s="1"/>
  <c r="C85" i="6" s="1"/>
  <c r="E85" i="6" s="1"/>
  <c r="B97" i="6" s="1"/>
  <c r="C97" i="6" s="1"/>
  <c r="D52" i="6"/>
  <c r="F52" i="6" s="1"/>
  <c r="B73" i="6" s="1"/>
  <c r="B87" i="6" s="1"/>
  <c r="D49" i="6"/>
  <c r="F49" i="6" s="1"/>
  <c r="B70" i="6" s="1"/>
  <c r="B84" i="6" s="1"/>
  <c r="C84" i="6" s="1"/>
  <c r="F51" i="6"/>
  <c r="B72" i="6" s="1"/>
  <c r="B86" i="6" s="1"/>
  <c r="C86" i="6" s="1"/>
  <c r="B29" i="3"/>
  <c r="B27" i="3"/>
  <c r="B28" i="3"/>
  <c r="C15" i="3"/>
  <c r="C19" i="3" s="1"/>
  <c r="D85" i="6" l="1"/>
  <c r="C87" i="6"/>
  <c r="D83" i="6"/>
  <c r="D84" i="6"/>
  <c r="E84" i="6"/>
  <c r="B96" i="6" s="1"/>
  <c r="C96" i="6" s="1"/>
  <c r="D87" i="6"/>
  <c r="E87" i="6"/>
  <c r="B99" i="6" s="1"/>
  <c r="C99" i="6" s="1"/>
  <c r="E86" i="6"/>
  <c r="B98" i="6" s="1"/>
  <c r="C98" i="6" s="1"/>
  <c r="D86" i="6"/>
  <c r="D28" i="3"/>
  <c r="D27" i="3"/>
  <c r="D29" i="3"/>
  <c r="H5" i="4" l="1"/>
  <c r="H8" i="4"/>
  <c r="H11" i="4"/>
  <c r="H13" i="4"/>
  <c r="H38" i="4" s="1"/>
  <c r="H21" i="4"/>
  <c r="H24" i="4"/>
  <c r="H161" i="4" s="1"/>
  <c r="H25" i="4"/>
  <c r="H26" i="4"/>
  <c r="H28" i="4"/>
  <c r="H44" i="4"/>
  <c r="H46" i="4" s="1"/>
  <c r="H48" i="4" s="1"/>
  <c r="H49" i="4" s="1"/>
  <c r="H37" i="4" s="1"/>
  <c r="M37" i="4" s="1"/>
  <c r="F57" i="4"/>
  <c r="F58" i="4" s="1"/>
  <c r="H60" i="4"/>
  <c r="H61" i="4" s="1"/>
  <c r="H63" i="4" s="1"/>
  <c r="H64" i="4"/>
  <c r="H91" i="4"/>
  <c r="H92" i="4"/>
  <c r="H94" i="4" s="1"/>
  <c r="H107" i="4"/>
  <c r="H113" i="4"/>
  <c r="H124" i="4"/>
  <c r="H130" i="4"/>
  <c r="H126" i="4" s="1"/>
  <c r="H131" i="4"/>
  <c r="H140" i="4"/>
  <c r="H141" i="4" s="1"/>
  <c r="H144" i="4"/>
  <c r="H162" i="4" s="1"/>
  <c r="H146" i="4"/>
  <c r="H145" i="4" l="1"/>
  <c r="H153" i="4"/>
  <c r="H66" i="4"/>
  <c r="H147" i="4"/>
  <c r="H154" i="4"/>
  <c r="H155" i="4" s="1"/>
  <c r="H6" i="4" l="1"/>
  <c r="H27" i="4" s="1"/>
  <c r="H36" i="4" l="1"/>
  <c r="M36" i="4" s="1"/>
  <c r="H85" i="4"/>
  <c r="H87" i="4" s="1"/>
  <c r="H34" i="4"/>
  <c r="M34" i="4" l="1"/>
  <c r="H35" i="4"/>
  <c r="M35" i="4" s="1"/>
  <c r="H96" i="4"/>
  <c r="H100" i="4" s="1"/>
  <c r="H108" i="4" s="1"/>
  <c r="H89" i="4"/>
  <c r="H97" i="4" s="1"/>
  <c r="H101" i="4" s="1"/>
  <c r="H109" i="4" s="1"/>
  <c r="H114" i="4" s="1"/>
  <c r="H116" i="4" s="1"/>
  <c r="H117" i="4" s="1"/>
  <c r="H122" i="4" s="1"/>
  <c r="H133" i="4" s="1"/>
  <c r="M39" i="4" l="1"/>
  <c r="H39" i="4"/>
  <c r="H51" i="4" s="1"/>
  <c r="H166" i="4" l="1"/>
  <c r="H167" i="4" s="1"/>
  <c r="H169" i="4" s="1"/>
  <c r="H31" i="4"/>
  <c r="H40" i="4"/>
  <c r="H156" i="4" s="1"/>
  <c r="H157" i="4" s="1"/>
  <c r="H158" i="4" s="1"/>
  <c r="M40" i="4"/>
  <c r="G38" i="7"/>
  <c r="G36" i="7" l="1"/>
  <c r="G37" i="7" l="1"/>
  <c r="G40" i="7" s="1"/>
  <c r="G42" i="7" l="1"/>
  <c r="G44" i="7"/>
  <c r="G45" i="7" s="1"/>
  <c r="I45" i="7" s="1"/>
  <c r="G34" i="7"/>
  <c r="J29" i="1"/>
  <c r="J25" i="1"/>
  <c r="G43" i="1"/>
  <c r="H43" i="1" s="1"/>
  <c r="F19" i="1"/>
  <c r="F29" i="1" s="1"/>
  <c r="C56" i="1" l="1"/>
  <c r="G19" i="1"/>
  <c r="F25" i="1"/>
  <c r="G25" i="1" l="1"/>
  <c r="H19" i="1"/>
  <c r="G29" i="1"/>
  <c r="I19" i="1"/>
  <c r="C57" i="1"/>
  <c r="D50" i="1"/>
  <c r="D65" i="1" s="1"/>
  <c r="D70" i="1" s="1"/>
  <c r="H68" i="1" s="1"/>
  <c r="H70" i="1" s="1"/>
  <c r="H25" i="1" l="1"/>
  <c r="I25" i="1"/>
  <c r="K19" i="1"/>
  <c r="G26" i="1"/>
  <c r="H26" i="1" l="1"/>
  <c r="K27" i="1"/>
  <c r="K25" i="1"/>
  <c r="I26" i="1" s="1"/>
  <c r="K31" i="1" l="1"/>
  <c r="K30" i="1"/>
  <c r="I27" i="1"/>
  <c r="K32" i="1"/>
  <c r="K33" i="1"/>
  <c r="K29" i="1"/>
  <c r="I30" i="1" l="1"/>
  <c r="I31" i="1"/>
  <c r="I32" i="1"/>
  <c r="H27" i="1"/>
  <c r="I33" i="1"/>
  <c r="I29" i="1"/>
  <c r="H32" i="1" l="1"/>
  <c r="I46" i="1" s="1"/>
  <c r="H33" i="1"/>
  <c r="I47" i="1" s="1"/>
  <c r="H31" i="1"/>
  <c r="I45" i="1" s="1"/>
  <c r="H30" i="1"/>
  <c r="I44" i="1" s="1"/>
  <c r="H29" i="1"/>
  <c r="I4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DFraser</author>
  </authors>
  <commentList>
    <comment ref="H22" authorId="0" shapeId="0" xr:uid="{00000000-0006-0000-0000-000001000000}">
      <text>
        <r>
          <rPr>
            <sz val="9"/>
            <color indexed="81"/>
            <rFont val="Tahoma"/>
            <family val="2"/>
          </rPr>
          <t>No NH3 removal in FST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haeck</author>
    <author>Her Dr. Haeck</author>
    <author>mhaeck</author>
  </authors>
  <commentList>
    <comment ref="A7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haeck:</t>
        </r>
        <r>
          <rPr>
            <sz val="8"/>
            <color indexed="81"/>
            <rFont val="Tahoma"/>
            <family val="2"/>
          </rPr>
          <t xml:space="preserve">
 about 0,15m</t>
        </r>
        <r>
          <rPr>
            <vertAlign val="superscript"/>
            <sz val="8"/>
            <color indexed="81"/>
            <rFont val="Tahoma"/>
            <family val="2"/>
          </rPr>
          <t>3</t>
        </r>
        <r>
          <rPr>
            <sz val="8"/>
            <color indexed="81"/>
            <rFont val="Tahoma"/>
            <family val="2"/>
          </rPr>
          <t xml:space="preserve"> /Tag + 30 % infiltration water</t>
        </r>
      </text>
    </comment>
    <comment ref="A8" authorId="1" shapeId="0" xr:uid="{00000000-0006-0000-0400-000002000000}">
      <text>
        <r>
          <rPr>
            <b/>
            <sz val="8"/>
            <color indexed="81"/>
            <rFont val="Tahoma"/>
            <family val="2"/>
          </rPr>
          <t>Her Dr. Haeck:</t>
        </r>
        <r>
          <rPr>
            <sz val="8"/>
            <color indexed="81"/>
            <rFont val="Tahoma"/>
            <family val="2"/>
          </rPr>
          <t xml:space="preserve">
Pin [mg/l]=
(2 g per pe per day) 
* pe / V [m</t>
        </r>
        <r>
          <rPr>
            <vertAlign val="superscript"/>
            <sz val="8"/>
            <color indexed="81"/>
            <rFont val="Tahoma"/>
            <family val="2"/>
          </rPr>
          <t>3</t>
        </r>
        <r>
          <rPr>
            <sz val="8"/>
            <color indexed="81"/>
            <rFont val="Tahoma"/>
            <family val="2"/>
          </rPr>
          <t>/day]</t>
        </r>
      </text>
    </comment>
    <comment ref="A10" authorId="1" shapeId="0" xr:uid="{00000000-0006-0000-0400-000003000000}">
      <text>
        <r>
          <rPr>
            <b/>
            <sz val="8"/>
            <color indexed="81"/>
            <rFont val="Tahoma"/>
            <family val="2"/>
          </rPr>
          <t>Her Dr. Haeck:</t>
        </r>
        <r>
          <rPr>
            <sz val="8"/>
            <color indexed="81"/>
            <rFont val="Tahoma"/>
            <family val="2"/>
          </rPr>
          <t xml:space="preserve">
About 7-10 FNU outlet wwtp
1 FNU about  1-3 mg/l TS</t>
        </r>
      </text>
    </comment>
    <comment ref="A11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>haeck:</t>
        </r>
        <r>
          <rPr>
            <sz val="8"/>
            <color indexed="81"/>
            <rFont val="Tahoma"/>
            <family val="2"/>
          </rPr>
          <t xml:space="preserve">
smaller than limiting value to be met in every case</t>
        </r>
      </text>
    </comment>
    <comment ref="A22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>haeck:</t>
        </r>
        <r>
          <rPr>
            <sz val="8"/>
            <color indexed="81"/>
            <rFont val="Tahoma"/>
            <family val="2"/>
          </rPr>
          <t xml:space="preserve">
acc. to  ATV ca. 20 % of inflow</t>
        </r>
      </text>
    </comment>
    <comment ref="A27" authorId="2" shapeId="0" xr:uid="{00000000-0006-0000-0400-000006000000}">
      <text>
        <r>
          <rPr>
            <b/>
            <sz val="8"/>
            <color indexed="81"/>
            <rFont val="Tahoma"/>
            <family val="2"/>
          </rPr>
          <t>mhaeck:</t>
        </r>
        <r>
          <rPr>
            <sz val="8"/>
            <color indexed="81"/>
            <rFont val="Tahoma"/>
            <family val="2"/>
          </rPr>
          <t xml:space="preserve">
If no enhanced Bio P is availabelthis value should be 1 ... 2 % of BOD to biological reactor</t>
        </r>
      </text>
    </comment>
    <comment ref="A31" authorId="0" shapeId="0" xr:uid="{00000000-0006-0000-0400-000007000000}">
      <text>
        <r>
          <rPr>
            <b/>
            <sz val="8"/>
            <color indexed="81"/>
            <rFont val="Tahoma"/>
            <family val="2"/>
          </rPr>
          <t>haeck:</t>
        </r>
        <r>
          <rPr>
            <sz val="8"/>
            <color indexed="81"/>
            <rFont val="Tahoma"/>
            <family val="2"/>
          </rPr>
          <t xml:space="preserve">
0,02 mg/l P pro mg/l Suspensa</t>
        </r>
      </text>
    </comment>
    <comment ref="A47" authorId="1" shapeId="0" xr:uid="{00000000-0006-0000-0400-000008000000}">
      <text>
        <r>
          <rPr>
            <b/>
            <sz val="8"/>
            <color indexed="81"/>
            <rFont val="Tahoma"/>
            <family val="2"/>
          </rPr>
          <t>Her Dr. Haeck:</t>
        </r>
        <r>
          <rPr>
            <sz val="8"/>
            <color indexed="81"/>
            <rFont val="Tahoma"/>
            <family val="2"/>
          </rPr>
          <t xml:space="preserve">
Gemäß ATV 202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Sidney</author>
  </authors>
  <commentList>
    <comment ref="I6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Sidney:</t>
        </r>
        <r>
          <rPr>
            <sz val="9"/>
            <color indexed="81"/>
            <rFont val="Tahoma"/>
            <family val="2"/>
          </rPr>
          <t xml:space="preserve">
Same as specific gravity.</t>
        </r>
      </text>
    </comment>
    <comment ref="B9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Sidney:</t>
        </r>
        <r>
          <rPr>
            <sz val="9"/>
            <color indexed="81"/>
            <rFont val="Tahoma"/>
            <family val="2"/>
          </rPr>
          <t xml:space="preserve">
Molecular formula may vary depending on manufacturer.
m≤10, n=3~5</t>
        </r>
      </text>
    </comment>
    <comment ref="C9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Sidney:</t>
        </r>
        <r>
          <rPr>
            <sz val="9"/>
            <color indexed="81"/>
            <rFont val="Tahoma"/>
            <family val="2"/>
          </rPr>
          <t xml:space="preserve">
Molecular weight taken from http://www.surechemical.com/watertreatment/polyaluchloride.html</t>
        </r>
      </text>
    </comment>
    <comment ref="I1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Sidney:</t>
        </r>
        <r>
          <rPr>
            <sz val="9"/>
            <color indexed="81"/>
            <rFont val="Tahoma"/>
            <family val="2"/>
          </rPr>
          <t xml:space="preserve">
MSDS says 1.43 - 1.48</t>
        </r>
      </text>
    </comment>
  </commentList>
</comments>
</file>

<file path=xl/sharedStrings.xml><?xml version="1.0" encoding="utf-8"?>
<sst xmlns="http://schemas.openxmlformats.org/spreadsheetml/2006/main" count="907" uniqueCount="633">
  <si>
    <t>WW Treatment Plant</t>
  </si>
  <si>
    <t>Influent</t>
  </si>
  <si>
    <t>TSS</t>
  </si>
  <si>
    <t>BOD</t>
  </si>
  <si>
    <t>COD</t>
  </si>
  <si>
    <t>NH3</t>
  </si>
  <si>
    <t>P</t>
  </si>
  <si>
    <t>MLSS</t>
  </si>
  <si>
    <t>Flow</t>
  </si>
  <si>
    <t>L/s</t>
  </si>
  <si>
    <t>mg/L</t>
  </si>
  <si>
    <t>hr</t>
  </si>
  <si>
    <t>Units</t>
  </si>
  <si>
    <t>kg</t>
  </si>
  <si>
    <t>m3</t>
  </si>
  <si>
    <t>Time Basis</t>
  </si>
  <si>
    <t>Influent (1)</t>
  </si>
  <si>
    <t>PST Eff (2)</t>
  </si>
  <si>
    <t>ASP Eff (3)</t>
  </si>
  <si>
    <t>FST solids (5)</t>
  </si>
  <si>
    <t>RAS (6)</t>
  </si>
  <si>
    <t>SAS (7)</t>
  </si>
  <si>
    <t>PST solids (8)</t>
  </si>
  <si>
    <t>Mass Balance</t>
  </si>
  <si>
    <t>Setpoints</t>
  </si>
  <si>
    <t>DO</t>
  </si>
  <si>
    <t>Component</t>
  </si>
  <si>
    <t>Setttlement Assumption</t>
  </si>
  <si>
    <t>mg/l</t>
  </si>
  <si>
    <t>Final Eff (4)</t>
  </si>
  <si>
    <t>PST Eff</t>
  </si>
  <si>
    <t>PST Solids</t>
  </si>
  <si>
    <t>FST Eff</t>
  </si>
  <si>
    <t>FST Solids</t>
  </si>
  <si>
    <t>Consent</t>
  </si>
  <si>
    <t>Parameter</t>
  </si>
  <si>
    <t>Treatment</t>
  </si>
  <si>
    <t>ASP Target</t>
  </si>
  <si>
    <t>ASP in</t>
  </si>
  <si>
    <t>Blower Load</t>
  </si>
  <si>
    <t>FE</t>
  </si>
  <si>
    <t>Specify 2 l/s pumps</t>
  </si>
  <si>
    <t>l/s</t>
  </si>
  <si>
    <t>hrs</t>
  </si>
  <si>
    <t>Period</t>
  </si>
  <si>
    <t>m3/d</t>
  </si>
  <si>
    <t>Volume wasted</t>
  </si>
  <si>
    <t>kg/d</t>
  </si>
  <si>
    <t>Daily Mass Wasted</t>
  </si>
  <si>
    <t>kg/m3</t>
  </si>
  <si>
    <t>Concentration</t>
  </si>
  <si>
    <t>SAS</t>
  </si>
  <si>
    <t>Max RAS Rate based on Uopt (0.5xA)</t>
  </si>
  <si>
    <t>Max RAS Rate based on 1.5 DWF</t>
  </si>
  <si>
    <t>RAS Pumping</t>
  </si>
  <si>
    <t>%</t>
  </si>
  <si>
    <t>As a percentage of DST design value</t>
  </si>
  <si>
    <t>kg/m2.h</t>
  </si>
  <si>
    <t>Calculated Flux Load</t>
  </si>
  <si>
    <t>m3/h</t>
  </si>
  <si>
    <t>Total</t>
  </si>
  <si>
    <t>RAS (set at 0.5 m/h)</t>
  </si>
  <si>
    <t>FFTP</t>
  </si>
  <si>
    <t xml:space="preserve">Maximum Flow to FST's </t>
  </si>
  <si>
    <t>Limiting Flux Load</t>
  </si>
  <si>
    <t>ml/g</t>
  </si>
  <si>
    <t>Design Settleability (SSVI)</t>
  </si>
  <si>
    <t>Flux Load Check</t>
  </si>
  <si>
    <t>m/h</t>
  </si>
  <si>
    <t>Overflow rate with 1 tank o/c</t>
  </si>
  <si>
    <t>m2</t>
  </si>
  <si>
    <t xml:space="preserve">Surface Area 1 tank o/c </t>
  </si>
  <si>
    <t>Overflow rate with all tanks</t>
  </si>
  <si>
    <t>Spec</t>
  </si>
  <si>
    <t>Total Surface Area Available</t>
  </si>
  <si>
    <t>m</t>
  </si>
  <si>
    <t>Diameter</t>
  </si>
  <si>
    <t>Total Number of Tanks</t>
  </si>
  <si>
    <t>For peak flow of FFTP</t>
  </si>
  <si>
    <t>Hydraulic Loading</t>
  </si>
  <si>
    <t>Final Settlement Tanks</t>
  </si>
  <si>
    <t>kW</t>
  </si>
  <si>
    <t>Selected Motor</t>
  </si>
  <si>
    <t>Maximum Power Drawn Per Blower</t>
  </si>
  <si>
    <t>Efficiency (usual range 0.7 to 0.9)</t>
  </si>
  <si>
    <t>e</t>
  </si>
  <si>
    <t>n=(k-1)/k where k=1.395 for air</t>
  </si>
  <si>
    <t>n</t>
  </si>
  <si>
    <t>atm</t>
  </si>
  <si>
    <t xml:space="preserve">          pressure due to water depth</t>
  </si>
  <si>
    <t xml:space="preserve">          friction losses in the aeration equipment</t>
  </si>
  <si>
    <t xml:space="preserve">          main piping losses</t>
  </si>
  <si>
    <t xml:space="preserve">          filter and inlet losses</t>
  </si>
  <si>
    <t>Blower discharge pressure</t>
  </si>
  <si>
    <r>
      <t>p2</t>
    </r>
    <r>
      <rPr>
        <sz val="10"/>
        <rFont val="Arial"/>
        <family val="2"/>
      </rPr>
      <t/>
    </r>
  </si>
  <si>
    <t xml:space="preserve">Blower Inlet Pressure </t>
  </si>
  <si>
    <t>p1</t>
  </si>
  <si>
    <t>K</t>
  </si>
  <si>
    <t>Inlet Air Temperature</t>
  </si>
  <si>
    <t>T1</t>
  </si>
  <si>
    <t>kJ/k mol degrees K</t>
  </si>
  <si>
    <t>Engineering gas constant for air</t>
  </si>
  <si>
    <t>R</t>
  </si>
  <si>
    <t>kg/s</t>
  </si>
  <si>
    <t>Maximum Mass Flow Rate of Air per Blower</t>
  </si>
  <si>
    <t>w</t>
  </si>
  <si>
    <t xml:space="preserve">              29.7ne</t>
  </si>
  <si>
    <r>
      <t xml:space="preserve">Pw  =    </t>
    </r>
    <r>
      <rPr>
        <u/>
        <sz val="8"/>
        <rFont val="Calibri"/>
        <family val="2"/>
      </rPr>
      <t xml:space="preserve">wRT1 </t>
    </r>
    <r>
      <rPr>
        <sz val="8"/>
        <rFont val="Calibri"/>
        <family val="2"/>
      </rPr>
      <t>[(p2/p1)^</t>
    </r>
    <r>
      <rPr>
        <vertAlign val="superscript"/>
        <sz val="8"/>
        <rFont val="Calibri"/>
        <family val="2"/>
      </rPr>
      <t>0.283</t>
    </r>
    <r>
      <rPr>
        <sz val="8"/>
        <rFont val="Calibri"/>
        <family val="2"/>
      </rPr>
      <t xml:space="preserve"> - 1]</t>
    </r>
  </si>
  <si>
    <t>Determination of Blower Power requirements</t>
  </si>
  <si>
    <t>Nm3/h</t>
  </si>
  <si>
    <t>Peak Air Flow per Blower</t>
  </si>
  <si>
    <t>-</t>
  </si>
  <si>
    <t>Number of duty blowers</t>
  </si>
  <si>
    <t>Peak Air Flow (density taken as 1.2kg/Nm3 at 20C)</t>
  </si>
  <si>
    <t>Overall SOTE</t>
  </si>
  <si>
    <t>metre</t>
  </si>
  <si>
    <t>Operating Depth</t>
  </si>
  <si>
    <t>per metre</t>
  </si>
  <si>
    <t>Specific SOTE</t>
  </si>
  <si>
    <t>kgO/h</t>
  </si>
  <si>
    <t>Maximum Standard Transfer Required</t>
  </si>
  <si>
    <t>Average Standard Transfer Required</t>
  </si>
  <si>
    <t>AOR/SOR</t>
  </si>
  <si>
    <t>Operating DO Level</t>
  </si>
  <si>
    <t>Beta Factor</t>
  </si>
  <si>
    <t>Alpha Factor</t>
  </si>
  <si>
    <t>Conversion to Standard Conditions</t>
  </si>
  <si>
    <t>Revised Maximum Demand</t>
  </si>
  <si>
    <t>Revised Average Demand</t>
  </si>
  <si>
    <t>Reduction in Demand due to denitrification (decision has been made to exc. Selector)</t>
  </si>
  <si>
    <t xml:space="preserve">Allowance for Denitrification </t>
  </si>
  <si>
    <t>Maximum Demand</t>
  </si>
  <si>
    <t>kgO/d</t>
  </si>
  <si>
    <t>Average Demand</t>
  </si>
  <si>
    <t>Total Oxygen Demand</t>
  </si>
  <si>
    <t>Oxygen Requirement - maximum</t>
  </si>
  <si>
    <t>Peaking Factor</t>
  </si>
  <si>
    <t>Oxygen Demand (no nitrification)</t>
  </si>
  <si>
    <t>kgN/d</t>
  </si>
  <si>
    <t xml:space="preserve">Ammonia Load </t>
  </si>
  <si>
    <t>Nitrification Demand</t>
  </si>
  <si>
    <t>Oxygen requirement - average</t>
  </si>
  <si>
    <t>kgO/kgBOD</t>
  </si>
  <si>
    <t>Oxygen Demand per BOD removed</t>
  </si>
  <si>
    <t>kgBOD/d</t>
  </si>
  <si>
    <t>BOD Removed</t>
  </si>
  <si>
    <t>Carbonaceous Oxygen Demand</t>
  </si>
  <si>
    <t>Aeration Requirements</t>
  </si>
  <si>
    <t>(same concentration as final effluent)</t>
  </si>
  <si>
    <t>soluble</t>
  </si>
  <si>
    <t>SAS Phosphorus breaks down as</t>
  </si>
  <si>
    <t>particulate P</t>
  </si>
  <si>
    <t>Ignore</t>
  </si>
  <si>
    <t>organo/colloidal phosphote</t>
  </si>
  <si>
    <t>SAS Soluble (conc same as FE)</t>
  </si>
  <si>
    <t>ortho</t>
  </si>
  <si>
    <t>Raw Sewage Phosphorus breaks down as</t>
  </si>
  <si>
    <t>kgP/d</t>
  </si>
  <si>
    <t>Raw Sewage P (2.2g/PE)</t>
  </si>
  <si>
    <t>P returned</t>
  </si>
  <si>
    <t>kgSS/d</t>
  </si>
  <si>
    <t>SAS Mass</t>
  </si>
  <si>
    <t>SAS Volume</t>
  </si>
  <si>
    <t>hrs/day</t>
  </si>
  <si>
    <t>SAS Run Time</t>
  </si>
  <si>
    <t>RAS</t>
  </si>
  <si>
    <t>SVI</t>
  </si>
  <si>
    <t>SAS Concentration</t>
  </si>
  <si>
    <t>PLANT OBSERVATION</t>
  </si>
  <si>
    <t>SAS PRODUCED - THEORETICAL</t>
  </si>
  <si>
    <t>kgSS</t>
  </si>
  <si>
    <t>Accumulated in ASP</t>
  </si>
  <si>
    <t>gTSS/gFe</t>
  </si>
  <si>
    <t>TSS generated</t>
  </si>
  <si>
    <t>Fe added</t>
  </si>
  <si>
    <t>Fe/Soln</t>
  </si>
  <si>
    <t>Fe content</t>
  </si>
  <si>
    <t>Mass of Solution Added</t>
  </si>
  <si>
    <t>kg/l</t>
  </si>
  <si>
    <t>Density of 12.5% Fe Soln</t>
  </si>
  <si>
    <t>litres/day</t>
  </si>
  <si>
    <t>Ferric Dose Rate to Secondary Treatment</t>
  </si>
  <si>
    <t>mgP/mgSS</t>
  </si>
  <si>
    <t>Design MLSS</t>
  </si>
  <si>
    <t>kgP</t>
  </si>
  <si>
    <t>kgMLSS</t>
  </si>
  <si>
    <t xml:space="preserve">Total MLSS </t>
  </si>
  <si>
    <t>Additional Accumulated Mass from PST Carryover</t>
  </si>
  <si>
    <t>Ferric Sludge</t>
  </si>
  <si>
    <t>kgVSS</t>
  </si>
  <si>
    <t>Inert Volatile Mass</t>
  </si>
  <si>
    <t>Endogenous Mass</t>
  </si>
  <si>
    <t>Active Mass</t>
  </si>
  <si>
    <t>P Content</t>
  </si>
  <si>
    <t>days</t>
  </si>
  <si>
    <t>Sludge Age (use Goal Seek to achieve design MLSS concentration)</t>
  </si>
  <si>
    <t>C</t>
  </si>
  <si>
    <t>Minimum Operating Temp</t>
  </si>
  <si>
    <t>kgBOD/m3.d</t>
  </si>
  <si>
    <t>Operating F:M</t>
  </si>
  <si>
    <t>Sludge Age Determination</t>
  </si>
  <si>
    <t>Ammonia load to ASP (based on 8g/PE)</t>
  </si>
  <si>
    <t>BOD load to ASP (based on 60g/PE)</t>
  </si>
  <si>
    <t>pe</t>
  </si>
  <si>
    <t>Population Equivalent</t>
  </si>
  <si>
    <t>DWF</t>
  </si>
  <si>
    <t>Flows and Loads</t>
  </si>
  <si>
    <t>Aerobic</t>
  </si>
  <si>
    <t>Selector</t>
  </si>
  <si>
    <t>Process Volumes</t>
  </si>
  <si>
    <t>Additional TSS concentration</t>
  </si>
  <si>
    <t>Typical Concentration based on 50% removal and 75gSS/PE)</t>
  </si>
  <si>
    <t>Flow Rate</t>
  </si>
  <si>
    <t>TSS Carryover from PST's (over and above normal TSS levels)</t>
  </si>
  <si>
    <t>g/PE</t>
  </si>
  <si>
    <t>Ammonia load to ASP</t>
  </si>
  <si>
    <t xml:space="preserve">BOD load to ASP </t>
  </si>
  <si>
    <t>BOD Removed by Primary Treatment</t>
  </si>
  <si>
    <t>PE</t>
  </si>
  <si>
    <t>Design PE</t>
  </si>
  <si>
    <t>Activated Sludge Plant</t>
  </si>
  <si>
    <t>SECONDARY TREATMENT</t>
  </si>
  <si>
    <t>RAS Ratio</t>
  </si>
  <si>
    <t>(2) + (6)</t>
  </si>
  <si>
    <t>Sludge Age</t>
  </si>
  <si>
    <t xml:space="preserve">MLSS </t>
  </si>
  <si>
    <t>Min Reactor Vol</t>
  </si>
  <si>
    <t>Air requirement</t>
  </si>
  <si>
    <t>BOD conversion</t>
  </si>
  <si>
    <t>COD Conversion</t>
  </si>
  <si>
    <t>NH3 Conversion</t>
  </si>
  <si>
    <t>MLSS Conversion</t>
  </si>
  <si>
    <t>kg/kg</t>
  </si>
  <si>
    <t>kg air/d</t>
  </si>
  <si>
    <t>Operating depth</t>
  </si>
  <si>
    <t>SOTE</t>
  </si>
  <si>
    <t>Inlet air density</t>
  </si>
  <si>
    <t>Inlet Air Flow</t>
  </si>
  <si>
    <t>No Duty blowers</t>
  </si>
  <si>
    <t>Air flow per blower</t>
  </si>
  <si>
    <t>WW AD-CHP Assessment</t>
  </si>
  <si>
    <t>D Fraser</t>
  </si>
  <si>
    <t>Solids</t>
  </si>
  <si>
    <t>Lt/s</t>
  </si>
  <si>
    <t>Load</t>
  </si>
  <si>
    <t>Min</t>
  </si>
  <si>
    <t>Max</t>
  </si>
  <si>
    <t>Gas Conversion</t>
  </si>
  <si>
    <t>Methane</t>
  </si>
  <si>
    <t>Carbon Dioxide</t>
  </si>
  <si>
    <t>Trace</t>
  </si>
  <si>
    <t>Production</t>
  </si>
  <si>
    <t>Calorific Value</t>
  </si>
  <si>
    <t>MJ/kg</t>
  </si>
  <si>
    <t>Power</t>
  </si>
  <si>
    <t>CHP efficiency</t>
  </si>
  <si>
    <t>CHP losses</t>
  </si>
  <si>
    <t>CHP power</t>
  </si>
  <si>
    <t>CHP heat</t>
  </si>
  <si>
    <t>Hours Run</t>
  </si>
  <si>
    <t>Losses</t>
  </si>
  <si>
    <t>kWh/yr</t>
  </si>
  <si>
    <t>Heat Output</t>
  </si>
  <si>
    <t xml:space="preserve">Power output </t>
  </si>
  <si>
    <t>RTD</t>
  </si>
  <si>
    <t>d</t>
  </si>
  <si>
    <t>Vol</t>
  </si>
  <si>
    <t>Mean ambient T</t>
  </si>
  <si>
    <t>degC</t>
  </si>
  <si>
    <t xml:space="preserve">Digester </t>
  </si>
  <si>
    <t>Heat capacity</t>
  </si>
  <si>
    <t>kJ/kg-K</t>
  </si>
  <si>
    <t>Heat input</t>
  </si>
  <si>
    <t>assumes losses of 20% of input annually (calc to be refined)</t>
  </si>
  <si>
    <t>Net heat requirement</t>
  </si>
  <si>
    <t>Phosphorus Precipitation Spreadsheet</t>
  </si>
  <si>
    <t>User entered values = Yellow cells with blue font.</t>
  </si>
  <si>
    <r>
      <rPr>
        <b/>
        <sz val="10"/>
        <color indexed="17"/>
        <rFont val="Arial"/>
        <family val="2"/>
      </rPr>
      <t xml:space="preserve">Green font </t>
    </r>
    <r>
      <rPr>
        <sz val="10"/>
        <color indexed="8"/>
        <rFont val="Arial"/>
        <family val="2"/>
      </rPr>
      <t>indicates a variable name used within an equation.  This spreadsheet uses named cells to simplify calculation tracking.</t>
    </r>
  </si>
  <si>
    <t>Chemical</t>
  </si>
  <si>
    <t>Formula</t>
  </si>
  <si>
    <t>Formula Weight, g/mole</t>
  </si>
  <si>
    <t>Variable Name</t>
  </si>
  <si>
    <t>Description</t>
  </si>
  <si>
    <t>Typical Weight Percent in Commercial Solutions</t>
  </si>
  <si>
    <t>Density, lb/gallon</t>
  </si>
  <si>
    <t>Density, kg/L</t>
  </si>
  <si>
    <t>Link to MSDS</t>
  </si>
  <si>
    <t>Aluminum sulfate (Alum) - Liquid</t>
  </si>
  <si>
    <r>
      <t>Al</t>
    </r>
    <r>
      <rPr>
        <sz val="5"/>
        <color indexed="8"/>
        <rFont val="Arial"/>
        <family val="2"/>
      </rPr>
      <t>2</t>
    </r>
    <r>
      <rPr>
        <sz val="10"/>
        <color indexed="8"/>
        <rFont val="Arial"/>
        <family val="2"/>
      </rPr>
      <t>(SO</t>
    </r>
    <r>
      <rPr>
        <sz val="5"/>
        <color indexed="8"/>
        <rFont val="Arial"/>
        <family val="2"/>
      </rPr>
      <t>4</t>
    </r>
    <r>
      <rPr>
        <sz val="10"/>
        <color indexed="8"/>
        <rFont val="Arial"/>
        <family val="2"/>
      </rPr>
      <t>)</t>
    </r>
    <r>
      <rPr>
        <sz val="5"/>
        <color indexed="8"/>
        <rFont val="Arial"/>
        <family val="2"/>
      </rPr>
      <t>3</t>
    </r>
    <r>
      <rPr>
        <sz val="10"/>
        <color indexed="8"/>
        <rFont val="Arial"/>
        <family val="2"/>
      </rPr>
      <t>*14(H</t>
    </r>
    <r>
      <rPr>
        <sz val="5"/>
        <color indexed="8"/>
        <rFont val="Arial"/>
        <family val="2"/>
      </rPr>
      <t>2</t>
    </r>
    <r>
      <rPr>
        <sz val="10"/>
        <color indexed="8"/>
        <rFont val="Arial"/>
        <family val="2"/>
      </rPr>
      <t>O)</t>
    </r>
  </si>
  <si>
    <t>MWAlum</t>
  </si>
  <si>
    <t>Crystallized, dry form or liquid</t>
  </si>
  <si>
    <t>PercentAlum</t>
  </si>
  <si>
    <t>DenseAlum</t>
  </si>
  <si>
    <t>http://www.deltachemical.com/PDFS/DeltaAlumLiquid.pdf</t>
  </si>
  <si>
    <t>Sodium Aluminate</t>
  </si>
  <si>
    <r>
      <t>Na</t>
    </r>
    <r>
      <rPr>
        <sz val="5"/>
        <color indexed="8"/>
        <rFont val="Arial"/>
        <family val="2"/>
      </rPr>
      <t>2</t>
    </r>
    <r>
      <rPr>
        <sz val="10"/>
        <color indexed="8"/>
        <rFont val="Arial"/>
        <family val="2"/>
      </rPr>
      <t>Al</t>
    </r>
    <r>
      <rPr>
        <sz val="5"/>
        <color indexed="8"/>
        <rFont val="Arial"/>
        <family val="2"/>
      </rPr>
      <t>2</t>
    </r>
    <r>
      <rPr>
        <sz val="10"/>
        <color indexed="8"/>
        <rFont val="Arial"/>
        <family val="2"/>
      </rPr>
      <t>O</t>
    </r>
    <r>
      <rPr>
        <sz val="5"/>
        <color indexed="8"/>
        <rFont val="Arial"/>
        <family val="2"/>
      </rPr>
      <t>4</t>
    </r>
  </si>
  <si>
    <t>MWSodiumAluminate</t>
  </si>
  <si>
    <t>Powder or liquid form</t>
  </si>
  <si>
    <t>PercentNaAluminate</t>
  </si>
  <si>
    <t>DenseNaAluminate</t>
  </si>
  <si>
    <t>http://www.deltachemical.com/PDFS/DeltaSodiumAluminate.pdf</t>
  </si>
  <si>
    <t>Polyaluminum chloride (PAC)</t>
  </si>
  <si>
    <t>[Al2(OH)nCl6－n·xH2O]m</t>
  </si>
  <si>
    <t>MWPAC</t>
  </si>
  <si>
    <t>Range in the degree of basicity and aluminum concentration</t>
  </si>
  <si>
    <t>PercentPAC</t>
  </si>
  <si>
    <t>DensePAC</t>
  </si>
  <si>
    <t>http://msds.orica.com/pdf/shess-en-cds-020-000000015710.pdf</t>
  </si>
  <si>
    <t>Ferric chloride</t>
  </si>
  <si>
    <r>
      <t>FeCl</t>
    </r>
    <r>
      <rPr>
        <sz val="5"/>
        <color indexed="8"/>
        <rFont val="Arial"/>
        <family val="2"/>
      </rPr>
      <t>3</t>
    </r>
  </si>
  <si>
    <t>MWFerricCl</t>
  </si>
  <si>
    <t>Orange-brown aqueous solution</t>
  </si>
  <si>
    <t>PercentFeCl2</t>
  </si>
  <si>
    <t>DenseFeCl2</t>
  </si>
  <si>
    <t>http://www.sciencelab.com/msds.php?msdsId=9924035</t>
  </si>
  <si>
    <t>Ferric sulfate</t>
  </si>
  <si>
    <r>
      <t>Fe</t>
    </r>
    <r>
      <rPr>
        <sz val="5"/>
        <color indexed="8"/>
        <rFont val="Arial"/>
        <family val="2"/>
      </rPr>
      <t>2</t>
    </r>
    <r>
      <rPr>
        <sz val="10"/>
        <color indexed="8"/>
        <rFont val="Arial"/>
        <family val="2"/>
      </rPr>
      <t>SO</t>
    </r>
    <r>
      <rPr>
        <sz val="5"/>
        <color indexed="8"/>
        <rFont val="Arial"/>
        <family val="2"/>
      </rPr>
      <t>4</t>
    </r>
  </si>
  <si>
    <t>MWFerricSO4</t>
  </si>
  <si>
    <t>Green Aqueous Solution</t>
  </si>
  <si>
    <t>PercentFeSO4</t>
  </si>
  <si>
    <t>DenseFeSO4</t>
  </si>
  <si>
    <t>http://www.generalchemical.com/assets/msds/GC-7002.pdf</t>
  </si>
  <si>
    <t>Lime</t>
  </si>
  <si>
    <t>CaO</t>
  </si>
  <si>
    <t>MWLime</t>
  </si>
  <si>
    <t>Dry white powder, CaO</t>
  </si>
  <si>
    <t>NA</t>
  </si>
  <si>
    <t>Slaked or Hydrated Lime</t>
  </si>
  <si>
    <r>
      <t>Ca(OH)</t>
    </r>
    <r>
      <rPr>
        <sz val="5"/>
        <color indexed="8"/>
        <rFont val="Arial"/>
        <family val="2"/>
      </rPr>
      <t>3</t>
    </r>
    <r>
      <rPr>
        <sz val="11"/>
        <color theme="1"/>
        <rFont val="Calibri"/>
        <family val="2"/>
        <scheme val="minor"/>
      </rPr>
      <t/>
    </r>
  </si>
  <si>
    <t>MWSlaked</t>
  </si>
  <si>
    <t>White slurry</t>
  </si>
  <si>
    <t>Note:  P precipitation with lime or slaked lime is a function of pH, not Me.</t>
  </si>
  <si>
    <t>Assume:</t>
  </si>
  <si>
    <r>
      <t>Me</t>
    </r>
    <r>
      <rPr>
        <sz val="5"/>
        <color indexed="8"/>
        <rFont val="Arial"/>
        <family val="2"/>
      </rPr>
      <t>dose</t>
    </r>
    <r>
      <rPr>
        <sz val="10"/>
        <color indexed="8"/>
        <rFont val="Arial"/>
        <family val="2"/>
      </rPr>
      <t>/P</t>
    </r>
    <r>
      <rPr>
        <sz val="5"/>
        <color indexed="8"/>
        <rFont val="Arial"/>
        <family val="2"/>
      </rPr>
      <t>ini</t>
    </r>
  </si>
  <si>
    <t>For Effluent P less than 1 mg/L.  Value of 1.5 - 2 is typical to remove up to 98% of P.</t>
  </si>
  <si>
    <t>For Effluent P lower than 0.5 mg/L.  Value of 6 - 7 is typical.</t>
  </si>
  <si>
    <t>Influent Flow</t>
  </si>
  <si>
    <t>MGD</t>
  </si>
  <si>
    <t>Qinf</t>
  </si>
  <si>
    <t>Wastewater Alkalinity</t>
  </si>
  <si>
    <t>mg/L as CaCO3</t>
  </si>
  <si>
    <t>Alkalinity</t>
  </si>
  <si>
    <t>P at Secondary Effluent</t>
  </si>
  <si>
    <t>mg/L as P</t>
  </si>
  <si>
    <t>Pini</t>
  </si>
  <si>
    <t>Desired effluent P</t>
  </si>
  <si>
    <t>Peff</t>
  </si>
  <si>
    <t>Molecular Weight of Al</t>
  </si>
  <si>
    <t>g/mole</t>
  </si>
  <si>
    <t>MWAl</t>
  </si>
  <si>
    <t>Molecular Weight of Ca</t>
  </si>
  <si>
    <t>MWCa</t>
  </si>
  <si>
    <t>Molecular Weight of Cl</t>
  </si>
  <si>
    <t>MWCl</t>
  </si>
  <si>
    <t>Molecular Weight of Fe</t>
  </si>
  <si>
    <t>MWFe</t>
  </si>
  <si>
    <t>Molecular Weight of H</t>
  </si>
  <si>
    <t>MWH</t>
  </si>
  <si>
    <t>Molecular Weight of Na</t>
  </si>
  <si>
    <t>MWNa</t>
  </si>
  <si>
    <t>Molecular Weight of O</t>
  </si>
  <si>
    <t>MWO</t>
  </si>
  <si>
    <t>Molecular Weight of P</t>
  </si>
  <si>
    <t>MWP</t>
  </si>
  <si>
    <t>Molecular Weight of S</t>
  </si>
  <si>
    <t>MWS</t>
  </si>
  <si>
    <r>
      <rPr>
        <b/>
        <sz val="10"/>
        <color indexed="8"/>
        <rFont val="Arial"/>
        <family val="2"/>
      </rPr>
      <t>Step 1</t>
    </r>
    <r>
      <rPr>
        <sz val="10"/>
        <color indexed="8"/>
        <rFont val="Arial"/>
        <family val="2"/>
      </rPr>
      <t>.  Determine weight of Me available per liter of liquid chemical.</t>
    </r>
  </si>
  <si>
    <t>a.  Find weight of chemical per liter of solution.</t>
  </si>
  <si>
    <t>Weight of Chemical in Kilograms per Liter</t>
  </si>
  <si>
    <t>Liquid Alum</t>
  </si>
  <si>
    <t>kg/L</t>
  </si>
  <si>
    <t>WeightAlum</t>
  </si>
  <si>
    <t>Conversion Factors</t>
  </si>
  <si>
    <t>WeightNaAluminate</t>
  </si>
  <si>
    <t>mg/L in 1% solution</t>
  </si>
  <si>
    <t>WeightPAC</t>
  </si>
  <si>
    <t>mg/g</t>
  </si>
  <si>
    <t>WeightFeCl2</t>
  </si>
  <si>
    <t>g/kg</t>
  </si>
  <si>
    <t>WeightFeSO4</t>
  </si>
  <si>
    <t>mg/L = (10,000)(% w/w)(specific gravity)</t>
  </si>
  <si>
    <t>b.  Find weight of Me per liter of solution.</t>
  </si>
  <si>
    <t>Molecular Weight of Metal</t>
  </si>
  <si>
    <t>Molecular Weight of Chemical</t>
  </si>
  <si>
    <t>Ratio of Me/Chemical</t>
  </si>
  <si>
    <t>Weight of Me in Grams per Liter</t>
  </si>
  <si>
    <t>AtoPAlum</t>
  </si>
  <si>
    <t>MeLAlum</t>
  </si>
  <si>
    <t>AtoPNaAluminate</t>
  </si>
  <si>
    <t>MeLNaAluminate</t>
  </si>
  <si>
    <t>AtoPPAC</t>
  </si>
  <si>
    <t>MeLPAC</t>
  </si>
  <si>
    <t>FetoFeCl2</t>
  </si>
  <si>
    <t>MeLFeCl2</t>
  </si>
  <si>
    <t>FetoFeSO4</t>
  </si>
  <si>
    <t>MeLFeSO4</t>
  </si>
  <si>
    <r>
      <rPr>
        <b/>
        <sz val="10"/>
        <color indexed="8"/>
        <rFont val="Arial"/>
        <family val="2"/>
      </rPr>
      <t>Step 2.</t>
    </r>
    <r>
      <rPr>
        <sz val="10"/>
        <color indexed="8"/>
        <rFont val="Arial"/>
        <family val="2"/>
      </rPr>
      <t xml:space="preserve">  Determine the weight of Fe or Aluminum required per unit weight of P.</t>
    </r>
  </si>
  <si>
    <t>a.  Target dosage =</t>
  </si>
  <si>
    <r>
      <t>moles of Fe</t>
    </r>
    <r>
      <rPr>
        <sz val="5"/>
        <color indexed="8"/>
        <rFont val="Arial"/>
        <family val="2"/>
      </rPr>
      <t>dose</t>
    </r>
    <r>
      <rPr>
        <sz val="10"/>
        <color indexed="8"/>
        <rFont val="Arial"/>
        <family val="2"/>
      </rPr>
      <t xml:space="preserve"> per 1.0 mole P (P</t>
    </r>
    <r>
      <rPr>
        <sz val="5"/>
        <color indexed="8"/>
        <rFont val="Arial"/>
        <family val="2"/>
      </rPr>
      <t>ini</t>
    </r>
    <r>
      <rPr>
        <sz val="10"/>
        <color indexed="8"/>
        <rFont val="Arial"/>
        <family val="2"/>
      </rPr>
      <t>).</t>
    </r>
  </si>
  <si>
    <t>Note:  Use a target dosage of 2 to remove P down to 1 mg/L.</t>
  </si>
  <si>
    <t>Note:  Use a target dosage of 7 mg/L to remove P down to 0.1 mg/L</t>
  </si>
  <si>
    <t>Note:  P must be in the ortho form for chemical precipitation to work.  Organically bound P and poly-P will not be precipitated.</t>
  </si>
  <si>
    <t>Value</t>
  </si>
  <si>
    <t>b.  Iron required =</t>
  </si>
  <si>
    <t>kg Fe / kg P</t>
  </si>
  <si>
    <t>FeRatio</t>
  </si>
  <si>
    <t>c.  Aluminum required =</t>
  </si>
  <si>
    <t>kg Al / kg P</t>
  </si>
  <si>
    <t>AlRatio</t>
  </si>
  <si>
    <r>
      <rPr>
        <b/>
        <sz val="10"/>
        <color indexed="8"/>
        <rFont val="Arial"/>
        <family val="2"/>
      </rPr>
      <t>Step 3.</t>
    </r>
    <r>
      <rPr>
        <sz val="10"/>
        <color indexed="8"/>
        <rFont val="Arial"/>
        <family val="2"/>
      </rPr>
      <t xml:space="preserve">  Determine the amount of chemical solution required per kg P.</t>
    </r>
  </si>
  <si>
    <t>liters solution / kg P</t>
  </si>
  <si>
    <t>LpKgAlum</t>
  </si>
  <si>
    <t>LpKgNaAluminate</t>
  </si>
  <si>
    <t>LpKgPAC</t>
  </si>
  <si>
    <t>LpKgFeCl2</t>
  </si>
  <si>
    <t>LpKgFeSO4</t>
  </si>
  <si>
    <r>
      <rPr>
        <b/>
        <sz val="10"/>
        <color indexed="8"/>
        <rFont val="Arial"/>
        <family val="2"/>
      </rPr>
      <t xml:space="preserve">Step 4.  </t>
    </r>
    <r>
      <rPr>
        <sz val="10"/>
        <color indexed="8"/>
        <rFont val="Arial"/>
        <family val="2"/>
      </rPr>
      <t>Determine the amount of chemical solution required per day.</t>
    </r>
  </si>
  <si>
    <t>a.  Convert influent flow rate to Liters per day</t>
  </si>
  <si>
    <t>QinfMetric</t>
  </si>
  <si>
    <t>b.  Calculate amount of chemical solution required per day.</t>
  </si>
  <si>
    <t>Enter minimum days storage:</t>
  </si>
  <si>
    <t>Liters/day</t>
  </si>
  <si>
    <t>Gallons/day</t>
  </si>
  <si>
    <t>Feed Rate, gpm</t>
  </si>
  <si>
    <r>
      <rPr>
        <b/>
        <sz val="10"/>
        <color indexed="8"/>
        <rFont val="Arial"/>
        <family val="2"/>
      </rPr>
      <t>Step 5.</t>
    </r>
    <r>
      <rPr>
        <sz val="10"/>
        <color indexed="8"/>
        <rFont val="Arial"/>
        <family val="2"/>
      </rPr>
      <t xml:space="preserve">  Estimate Storage Tank Footprint.</t>
    </r>
  </si>
  <si>
    <t>Assume:  Cylindrical tank</t>
  </si>
  <si>
    <t>Assume:  Depth is equal to</t>
  </si>
  <si>
    <t>feet</t>
  </si>
  <si>
    <t>Cubic Feet</t>
  </si>
  <si>
    <t>Diameter, ft</t>
  </si>
  <si>
    <t>Reference:  EPA/600/R-10/100 (August 2010) Nutrient Control Design Manual</t>
  </si>
  <si>
    <t>Reference:  Metcalf and Eddy (2014) Wastewater Engineering, Treatment and Resource Recovery</t>
  </si>
  <si>
    <t>per annum</t>
  </si>
  <si>
    <t>Chemical Cost</t>
  </si>
  <si>
    <t>Unit cost</t>
  </si>
  <si>
    <t>SAS produced</t>
  </si>
  <si>
    <t>Ltr/d</t>
  </si>
  <si>
    <t>Precipitant Flow</t>
  </si>
  <si>
    <t>Density (12.5% solution)</t>
  </si>
  <si>
    <t>kg/h</t>
  </si>
  <si>
    <t>Assumed</t>
  </si>
  <si>
    <t>Solution Strength</t>
  </si>
  <si>
    <t>Over 1 sludge age</t>
  </si>
  <si>
    <t>Accumulated Solids</t>
  </si>
  <si>
    <t>Solids Generated</t>
  </si>
  <si>
    <t>Annual Cost</t>
  </si>
  <si>
    <t>GWh</t>
  </si>
  <si>
    <t>Excess</t>
  </si>
  <si>
    <t>Ferric Sulphate Demand</t>
  </si>
  <si>
    <t>kWh</t>
  </si>
  <si>
    <t>Annual Consumption</t>
  </si>
  <si>
    <t>kgBOD/kgMLSS</t>
  </si>
  <si>
    <t>Assumes no bio-P removal</t>
  </si>
  <si>
    <t>Phosphate Load</t>
  </si>
  <si>
    <t>Mixed Liquors</t>
  </si>
  <si>
    <t>Phosphate Chemistry</t>
  </si>
  <si>
    <t>mBar</t>
  </si>
  <si>
    <t>Design Differential Pressure</t>
  </si>
  <si>
    <t>Compression Ratio</t>
  </si>
  <si>
    <t>http://www.epa.ie/licences/lic_eDMS/090151b28024cd4e.pdf</t>
  </si>
  <si>
    <t xml:space="preserve">hrs (Min 6hrs) </t>
  </si>
  <si>
    <t>HRT</t>
  </si>
  <si>
    <t>kgO2/h</t>
  </si>
  <si>
    <t>Total Demand</t>
  </si>
  <si>
    <t>http://waterfacts.net/Formulas/Sludge_Age/sludge_age.html</t>
  </si>
  <si>
    <t>MLSS Demand</t>
  </si>
  <si>
    <t>Unit Rating (Assumes 1.75 units run)</t>
  </si>
  <si>
    <t>SAS rate</t>
  </si>
  <si>
    <t>NO3 Demand</t>
  </si>
  <si>
    <t>D/A/S</t>
  </si>
  <si>
    <t>No Compressors</t>
  </si>
  <si>
    <t>Goal seek to get Design MLSS vs Operating MLSS</t>
  </si>
  <si>
    <t>SAS Solids</t>
  </si>
  <si>
    <t>NH3 Demand</t>
  </si>
  <si>
    <t>Minimum Compressor Capacity</t>
  </si>
  <si>
    <t xml:space="preserve">Sludge Age </t>
  </si>
  <si>
    <t>BOD Demand</t>
  </si>
  <si>
    <t>Shaft Power</t>
  </si>
  <si>
    <t>Demand</t>
  </si>
  <si>
    <t>Conversion</t>
  </si>
  <si>
    <t>Output Data</t>
  </si>
  <si>
    <t>kgO2/kWh</t>
  </si>
  <si>
    <t>Standard Aeration Efficiency</t>
  </si>
  <si>
    <t>Based on 8g NH3 per PE</t>
  </si>
  <si>
    <t>Population Equivlient</t>
  </si>
  <si>
    <t>Gamma</t>
  </si>
  <si>
    <t>Air Flow</t>
  </si>
  <si>
    <t>kPa</t>
  </si>
  <si>
    <t>Design Outlet Pressure:</t>
  </si>
  <si>
    <t>SOTR</t>
  </si>
  <si>
    <t>Pressure Design Factor:</t>
  </si>
  <si>
    <t>!st order reaction kintetics</t>
  </si>
  <si>
    <t>per hr</t>
  </si>
  <si>
    <t>Mass Transfer Coefficient (Kla)</t>
  </si>
  <si>
    <t>Minimun Outlet Pressure:</t>
  </si>
  <si>
    <t>NO3</t>
  </si>
  <si>
    <t>Calculated Data</t>
  </si>
  <si>
    <t>% Saturation</t>
  </si>
  <si>
    <t>http://www.waterontheweb.org/under/waterquality/oxygen.html</t>
  </si>
  <si>
    <t>Corrected DOsat</t>
  </si>
  <si>
    <t>per kWh</t>
  </si>
  <si>
    <t>Electricity Price</t>
  </si>
  <si>
    <t>Standard DOsat</t>
  </si>
  <si>
    <t xml:space="preserve">Compressor Efficiency </t>
  </si>
  <si>
    <t>Out</t>
  </si>
  <si>
    <t>In</t>
  </si>
  <si>
    <t>Motor Efficiency</t>
  </si>
  <si>
    <t>per m</t>
  </si>
  <si>
    <t>SOTE Corrected</t>
  </si>
  <si>
    <t>http://nptel.ac.in/courses/103107084/module1/lecture6/lecture6.pdf</t>
  </si>
  <si>
    <t>Ltr/s</t>
  </si>
  <si>
    <t>hr/yr</t>
  </si>
  <si>
    <t>Machine Run Hours</t>
  </si>
  <si>
    <t>Assumed standard at 4m</t>
  </si>
  <si>
    <t>http://www.aquavarra.ie/AerationP4.pdf</t>
  </si>
  <si>
    <t>Flow &amp; Load</t>
  </si>
  <si>
    <t>Inlet Pressure:</t>
  </si>
  <si>
    <t>DO Level</t>
  </si>
  <si>
    <t>Operating MLSS</t>
  </si>
  <si>
    <t>m3/s</t>
  </si>
  <si>
    <t xml:space="preserve">Oxygen Transfer </t>
  </si>
  <si>
    <t>Reactor volume</t>
  </si>
  <si>
    <t>Gas Flowrate:</t>
  </si>
  <si>
    <t>Reactor depth</t>
  </si>
  <si>
    <t>kJ/kg/K</t>
  </si>
  <si>
    <t>Constant Volume Heat Capacity:</t>
  </si>
  <si>
    <t>mg/L - standard is 50mg/L</t>
  </si>
  <si>
    <t>Reactor width</t>
  </si>
  <si>
    <t>Constant Pressure Heat Capacity:</t>
  </si>
  <si>
    <t>Balance</t>
  </si>
  <si>
    <t>Reactor length</t>
  </si>
  <si>
    <t>Air</t>
  </si>
  <si>
    <t>Compression Gas:</t>
  </si>
  <si>
    <t>Reactor Dimensions</t>
  </si>
  <si>
    <t>kg/h. Assumes 90% molar consumption + excess</t>
  </si>
  <si>
    <t>Adjusted for DO present in water</t>
  </si>
  <si>
    <t>Static Head</t>
  </si>
  <si>
    <t>kg/h. http://www.hydroqual.com/pdf/15%20Grey_rev_082207.pdf</t>
  </si>
  <si>
    <t>Denitrification Demand</t>
  </si>
  <si>
    <t>Local Air Density</t>
  </si>
  <si>
    <t>Water</t>
  </si>
  <si>
    <t>Discharge Atmosphere:</t>
  </si>
  <si>
    <t>Local Temperature</t>
  </si>
  <si>
    <t>Input Data</t>
  </si>
  <si>
    <t>Inlet Alkalinty</t>
  </si>
  <si>
    <t>mBar(a)</t>
  </si>
  <si>
    <t>Local Pressure</t>
  </si>
  <si>
    <t xml:space="preserve">Gas Compression Power </t>
  </si>
  <si>
    <t>Alkalinity Balance</t>
  </si>
  <si>
    <t>Global Conditions</t>
  </si>
  <si>
    <t>Activated Sludge Plant Process Analysis</t>
  </si>
  <si>
    <t>8. 29</t>
  </si>
  <si>
    <t>Temp (°C)</t>
  </si>
  <si>
    <t>Goal seek to match SAS produced below</t>
  </si>
  <si>
    <t>Sludge disposal</t>
  </si>
  <si>
    <t>Sludge dewatering</t>
  </si>
  <si>
    <t>Precipitation agent</t>
  </si>
  <si>
    <t>Costs</t>
  </si>
  <si>
    <t>years</t>
  </si>
  <si>
    <t>Payback period</t>
  </si>
  <si>
    <t>Savings</t>
  </si>
  <si>
    <t>Summary</t>
  </si>
  <si>
    <t>Assumptions</t>
  </si>
  <si>
    <t>Total operating costs</t>
  </si>
  <si>
    <t>kg/day</t>
  </si>
  <si>
    <t>Current precipitant consumption</t>
  </si>
  <si>
    <t>Total care service contract</t>
  </si>
  <si>
    <t>Al active substance precipitant</t>
  </si>
  <si>
    <t>Consumables  (10 min Measuring intervall)</t>
  </si>
  <si>
    <t>Fe active substance precipitant</t>
  </si>
  <si>
    <t>Running costs</t>
  </si>
  <si>
    <t>Precipitant</t>
  </si>
  <si>
    <t>Suspended solids (outlet)</t>
  </si>
  <si>
    <t>Set up commissioning and optimisation</t>
  </si>
  <si>
    <t>P-RTC</t>
  </si>
  <si>
    <t>Inflow</t>
  </si>
  <si>
    <t>Investment Costs</t>
  </si>
  <si>
    <t>Plant Data</t>
  </si>
  <si>
    <t>Currency</t>
  </si>
  <si>
    <t>Date:</t>
  </si>
  <si>
    <t>Cost comparison</t>
  </si>
  <si>
    <t>Sludge due to precipitation</t>
  </si>
  <si>
    <t>gTSS / gMe</t>
  </si>
  <si>
    <t xml:space="preserve">Suspended solids (specific) </t>
  </si>
  <si>
    <t xml:space="preserve">Amount of dosed chemicals </t>
  </si>
  <si>
    <t>Calculated ß-value</t>
  </si>
  <si>
    <t>P outlet wwtp due to Susp. Solids</t>
  </si>
  <si>
    <t>P inflow aeration tank</t>
  </si>
  <si>
    <t xml:space="preserve"> P-RTC</t>
  </si>
  <si>
    <t>Comparison</t>
  </si>
  <si>
    <t>per tonne</t>
  </si>
  <si>
    <t xml:space="preserve">assumed </t>
  </si>
  <si>
    <t>Beta</t>
  </si>
  <si>
    <t>FE Flow</t>
  </si>
  <si>
    <t>Phosphate Control Impact Analysis</t>
  </si>
  <si>
    <t>average mg/l</t>
  </si>
  <si>
    <t>ß-value without feedback</t>
  </si>
  <si>
    <t>ß-value with feedback</t>
  </si>
  <si>
    <t>Current control</t>
  </si>
  <si>
    <t>Type of dosing</t>
  </si>
  <si>
    <t xml:space="preserve">mg/l    </t>
  </si>
  <si>
    <t>£</t>
  </si>
  <si>
    <r>
      <t>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/day</t>
    </r>
  </si>
  <si>
    <r>
      <t>P</t>
    </r>
    <r>
      <rPr>
        <vertAlign val="subscript"/>
        <sz val="11"/>
        <rFont val="Calibri"/>
        <family val="2"/>
        <scheme val="minor"/>
      </rPr>
      <t xml:space="preserve">tot </t>
    </r>
    <r>
      <rPr>
        <sz val="11"/>
        <rFont val="Calibri"/>
        <family val="2"/>
        <scheme val="minor"/>
      </rPr>
      <t>-inflow (raw sewage)</t>
    </r>
  </si>
  <si>
    <r>
      <t>PO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-P outlet wwtp</t>
    </r>
  </si>
  <si>
    <r>
      <t>P</t>
    </r>
    <r>
      <rPr>
        <vertAlign val="subscript"/>
        <sz val="11"/>
        <rFont val="Calibri"/>
        <family val="2"/>
        <scheme val="minor"/>
      </rPr>
      <t>tot</t>
    </r>
    <r>
      <rPr>
        <sz val="11"/>
        <rFont val="Calibri"/>
        <family val="2"/>
        <scheme val="minor"/>
      </rPr>
      <t>-outlet (max. limit)</t>
    </r>
  </si>
  <si>
    <r>
      <t>P</t>
    </r>
    <r>
      <rPr>
        <vertAlign val="subscript"/>
        <sz val="11"/>
        <rFont val="Calibri"/>
        <family val="2"/>
        <scheme val="minor"/>
      </rPr>
      <t>tot</t>
    </r>
    <r>
      <rPr>
        <sz val="11"/>
        <rFont val="Calibri"/>
        <family val="2"/>
        <scheme val="minor"/>
      </rPr>
      <t>-outlet (current value)</t>
    </r>
  </si>
  <si>
    <r>
      <t>P</t>
    </r>
    <r>
      <rPr>
        <vertAlign val="subscript"/>
        <sz val="11"/>
        <rFont val="Calibri"/>
        <family val="2"/>
        <scheme val="minor"/>
      </rPr>
      <t>Biological elimination</t>
    </r>
  </si>
  <si>
    <r>
      <t>P</t>
    </r>
    <r>
      <rPr>
        <vertAlign val="subscript"/>
        <sz val="11"/>
        <rFont val="Calibri"/>
        <family val="2"/>
        <scheme val="minor"/>
      </rPr>
      <t>tot</t>
    </r>
    <r>
      <rPr>
        <sz val="11"/>
        <rFont val="Calibri"/>
        <family val="2"/>
        <scheme val="minor"/>
      </rPr>
      <t>-outlet (after automation)</t>
    </r>
  </si>
  <si>
    <r>
      <t>P</t>
    </r>
    <r>
      <rPr>
        <vertAlign val="subscript"/>
        <sz val="11"/>
        <rFont val="Calibri"/>
        <family val="2"/>
        <scheme val="minor"/>
      </rPr>
      <t xml:space="preserve">Primary elimination </t>
    </r>
    <r>
      <rPr>
        <sz val="11"/>
        <rFont val="Calibri"/>
        <family val="2"/>
        <scheme val="minor"/>
      </rPr>
      <t>/ P</t>
    </r>
    <r>
      <rPr>
        <vertAlign val="subscript"/>
        <sz val="11"/>
        <rFont val="Calibri"/>
        <family val="2"/>
        <scheme val="minor"/>
      </rPr>
      <t>Inflow primary</t>
    </r>
  </si>
  <si>
    <r>
      <t>P</t>
    </r>
    <r>
      <rPr>
        <vertAlign val="subscript"/>
        <sz val="11"/>
        <rFont val="Calibri"/>
        <family val="2"/>
        <scheme val="minor"/>
      </rPr>
      <t>Biological elimination</t>
    </r>
    <r>
      <rPr>
        <sz val="11"/>
        <rFont val="Calibri"/>
        <family val="2"/>
        <scheme val="minor"/>
      </rPr>
      <t xml:space="preserve">  / P</t>
    </r>
    <r>
      <rPr>
        <vertAlign val="subscript"/>
        <sz val="11"/>
        <rFont val="Calibri"/>
        <family val="2"/>
        <scheme val="minor"/>
      </rPr>
      <t>Inflow aeration</t>
    </r>
    <r>
      <rPr>
        <sz val="11"/>
        <rFont val="Calibri"/>
        <family val="2"/>
        <scheme val="minor"/>
      </rPr>
      <t xml:space="preserve"> </t>
    </r>
  </si>
  <si>
    <r>
      <t>g/m</t>
    </r>
    <r>
      <rPr>
        <vertAlign val="superscript"/>
        <sz val="11"/>
        <rFont val="Calibri"/>
        <family val="2"/>
        <scheme val="minor"/>
      </rPr>
      <t>3</t>
    </r>
  </si>
  <si>
    <t>Pre-precipitation</t>
  </si>
  <si>
    <t>Simultaneous precipitation</t>
  </si>
  <si>
    <t>Post-precipitation</t>
  </si>
  <si>
    <t>Balance check</t>
  </si>
  <si>
    <t>Assessor:</t>
  </si>
  <si>
    <t>Daniel Fraser</t>
  </si>
  <si>
    <t>Site:</t>
  </si>
  <si>
    <t>Philipshill WWTW</t>
  </si>
  <si>
    <t>PLC integration</t>
  </si>
  <si>
    <t>Phase A £</t>
  </si>
  <si>
    <t>Phase B £</t>
  </si>
  <si>
    <t>PHOSPHAXsc / Filterprobe / reagents</t>
  </si>
  <si>
    <t>SC100</t>
  </si>
  <si>
    <t>integrated with existing</t>
  </si>
  <si>
    <t>SAS flow</t>
  </si>
  <si>
    <t>SAS solids</t>
  </si>
  <si>
    <t>Sludge age HacH</t>
  </si>
  <si>
    <t>Sludge age Dan</t>
  </si>
  <si>
    <t>Temp</t>
  </si>
  <si>
    <t>Time</t>
  </si>
  <si>
    <t>vol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</si>
</sst>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6" formatCode="&quot;£&quot;#,##0;[Red]\-&quot;£&quot;#,##0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%"/>
    <numFmt numFmtId="168" formatCode="#,##0.0"/>
    <numFmt numFmtId="169" formatCode="\$#,##0\ ;\(\$#,##0\)"/>
    <numFmt numFmtId="170" formatCode="_(* #,##0_);_(* \(#,##0\);_(* &quot;-&quot;??_);_(@_)"/>
    <numFmt numFmtId="171" formatCode="[$£-491]#,##0"/>
    <numFmt numFmtId="172" formatCode="&quot;£&quot;#,##0"/>
    <numFmt numFmtId="173" formatCode="&quot;£&quot;#,##0.00"/>
    <numFmt numFmtId="174" formatCode="&quot;£&quot;#,##0.000;[Red]\-&quot;£&quot;#,##0.000"/>
    <numFmt numFmtId="175" formatCode="0.0000"/>
    <numFmt numFmtId="176" formatCode="d/m/yy;@"/>
    <numFmt numFmtId="177" formatCode="d/m/yy"/>
    <numFmt numFmtId="178" formatCode="[$-409]dd\-mmm\-yy;@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name val="Calibri"/>
      <family val="2"/>
      <scheme val="minor"/>
    </font>
    <font>
      <sz val="8"/>
      <color indexed="8"/>
      <name val="Calibri"/>
      <family val="2"/>
      <scheme val="minor"/>
    </font>
    <font>
      <sz val="10"/>
      <name val="Times New Roman"/>
      <family val="1"/>
    </font>
    <font>
      <sz val="8"/>
      <color indexed="10"/>
      <name val="Calibri"/>
      <family val="2"/>
      <scheme val="minor"/>
    </font>
    <font>
      <u/>
      <sz val="8"/>
      <name val="Calibri"/>
      <family val="2"/>
    </font>
    <font>
      <sz val="8"/>
      <name val="Calibri"/>
      <family val="2"/>
    </font>
    <font>
      <vertAlign val="superscript"/>
      <sz val="8"/>
      <name val="Calibri"/>
      <family val="2"/>
    </font>
    <font>
      <b/>
      <sz val="10"/>
      <color indexed="18"/>
      <name val="Calibri"/>
      <family val="2"/>
      <scheme val="minor"/>
    </font>
    <font>
      <sz val="10"/>
      <color theme="5" tint="-0.49998474074526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indexed="10"/>
      <name val="Calibri"/>
      <family val="2"/>
      <scheme val="minor"/>
    </font>
    <font>
      <sz val="10"/>
      <color theme="6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6" tint="-0.499984740745262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2"/>
      <name val="Calibri"/>
      <family val="2"/>
      <scheme val="minor"/>
    </font>
    <font>
      <sz val="10"/>
      <color indexed="22"/>
      <name val="Arial"/>
      <family val="2"/>
    </font>
    <font>
      <sz val="16"/>
      <color theme="1"/>
      <name val="Arial"/>
      <family val="2"/>
    </font>
    <font>
      <sz val="10"/>
      <color theme="1"/>
      <name val="Arial"/>
      <family val="2"/>
    </font>
    <font>
      <b/>
      <sz val="10"/>
      <color rgb="FF0070C0"/>
      <name val="Arial"/>
      <family val="2"/>
    </font>
    <font>
      <b/>
      <sz val="10"/>
      <color indexed="17"/>
      <name val="Arial"/>
      <family val="2"/>
    </font>
    <font>
      <sz val="10"/>
      <color indexed="8"/>
      <name val="Arial"/>
      <family val="2"/>
    </font>
    <font>
      <sz val="5"/>
      <color indexed="8"/>
      <name val="Arial"/>
      <family val="2"/>
    </font>
    <font>
      <sz val="10"/>
      <color rgb="FF00B050"/>
      <name val="Arial"/>
      <family val="2"/>
    </font>
    <font>
      <sz val="9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Arial"/>
      <family val="2"/>
    </font>
    <font>
      <b/>
      <sz val="10"/>
      <color indexed="8"/>
      <name val="Arial"/>
      <family val="2"/>
    </font>
    <font>
      <b/>
      <sz val="8"/>
      <color rgb="FFFF0000"/>
      <name val="Arial"/>
      <family val="2"/>
    </font>
    <font>
      <sz val="10"/>
      <color theme="0" tint="-0.249977111117893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Tahoma"/>
      <family val="2"/>
    </font>
    <font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vertAlign val="superscript"/>
      <sz val="8"/>
      <color indexed="81"/>
      <name val="Tahoma"/>
      <family val="2"/>
    </font>
    <font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gray0625">
        <fgColor indexed="15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indexed="64"/>
      </right>
      <top style="thin">
        <color theme="3"/>
      </top>
      <bottom style="thin">
        <color theme="3"/>
      </bottom>
      <diagonal/>
    </border>
    <border>
      <left style="thin">
        <color indexed="64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0">
    <xf numFmtId="0" fontId="0" fillId="0" borderId="0"/>
    <xf numFmtId="9" fontId="1" fillId="0" borderId="0" applyFont="0" applyFill="0" applyBorder="0" applyAlignment="0" applyProtection="0"/>
    <xf numFmtId="0" fontId="5" fillId="0" borderId="0"/>
    <xf numFmtId="0" fontId="16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32" fillId="0" borderId="0" applyFont="0" applyFill="0" applyBorder="0" applyAlignment="0" applyProtection="0"/>
    <xf numFmtId="3" fontId="32" fillId="0" borderId="0" applyFont="0" applyFill="0" applyBorder="0" applyAlignment="0" applyProtection="0"/>
    <xf numFmtId="169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" fontId="3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1" fillId="0" borderId="0"/>
    <xf numFmtId="1" fontId="32" fillId="0" borderId="0" applyFont="0" applyFill="0" applyBorder="0" applyAlignment="0" applyProtection="0"/>
    <xf numFmtId="0" fontId="32" fillId="7" borderId="0">
      <protection locked="0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1" fillId="0" borderId="0" applyNumberFormat="0" applyFill="0" applyBorder="0" applyAlignment="0" applyProtection="0"/>
  </cellStyleXfs>
  <cellXfs count="379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vertical="center"/>
    </xf>
    <xf numFmtId="164" fontId="0" fillId="0" borderId="0" xfId="0" applyNumberFormat="1" applyAlignment="1">
      <alignment vertical="center"/>
    </xf>
    <xf numFmtId="9" fontId="0" fillId="0" borderId="0" xfId="0" applyNumberFormat="1" applyAlignment="1">
      <alignment vertical="center"/>
    </xf>
    <xf numFmtId="1" fontId="0" fillId="0" borderId="0" xfId="0" applyNumberFormat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0" borderId="0" xfId="2" applyFont="1" applyAlignment="1">
      <alignment vertical="top"/>
    </xf>
    <xf numFmtId="0" fontId="7" fillId="0" borderId="0" xfId="2" applyFont="1" applyAlignment="1">
      <alignment vertical="top"/>
    </xf>
    <xf numFmtId="164" fontId="6" fillId="0" borderId="0" xfId="2" applyNumberFormat="1" applyFont="1" applyAlignment="1">
      <alignment vertical="top"/>
    </xf>
    <xf numFmtId="1" fontId="6" fillId="0" borderId="0" xfId="2" applyNumberFormat="1" applyFont="1" applyAlignment="1">
      <alignment vertical="top"/>
    </xf>
    <xf numFmtId="0" fontId="8" fillId="0" borderId="0" xfId="2" applyFont="1" applyAlignment="1">
      <alignment vertical="top"/>
    </xf>
    <xf numFmtId="0" fontId="6" fillId="0" borderId="0" xfId="2" applyFont="1" applyFill="1" applyBorder="1"/>
    <xf numFmtId="0" fontId="6" fillId="0" borderId="0" xfId="2" applyFont="1" applyFill="1" applyBorder="1" applyAlignment="1">
      <alignment horizontal="right"/>
    </xf>
    <xf numFmtId="0" fontId="6" fillId="0" borderId="0" xfId="2" applyFont="1" applyFill="1" applyBorder="1" applyAlignment="1"/>
    <xf numFmtId="164" fontId="6" fillId="0" borderId="0" xfId="2" applyNumberFormat="1" applyFont="1" applyFill="1" applyBorder="1"/>
    <xf numFmtId="0" fontId="8" fillId="0" borderId="0" xfId="2" applyFont="1" applyFill="1" applyBorder="1"/>
    <xf numFmtId="0" fontId="6" fillId="0" borderId="0" xfId="2" applyFont="1" applyFill="1" applyBorder="1" applyAlignment="1">
      <alignment horizontal="left"/>
    </xf>
    <xf numFmtId="0" fontId="6" fillId="0" borderId="0" xfId="2" applyFont="1" applyFill="1" applyBorder="1" applyAlignment="1">
      <alignment horizontal="center"/>
    </xf>
    <xf numFmtId="1" fontId="6" fillId="0" borderId="0" xfId="2" applyNumberFormat="1" applyFont="1" applyFill="1" applyBorder="1" applyAlignment="1">
      <alignment horizontal="right"/>
    </xf>
    <xf numFmtId="0" fontId="9" fillId="0" borderId="0" xfId="2" applyFont="1" applyFill="1" applyBorder="1" applyAlignment="1">
      <alignment horizontal="left"/>
    </xf>
    <xf numFmtId="2" fontId="9" fillId="0" borderId="0" xfId="2" applyNumberFormat="1" applyFont="1" applyFill="1" applyBorder="1" applyAlignment="1">
      <alignment horizontal="right"/>
    </xf>
    <xf numFmtId="0" fontId="10" fillId="0" borderId="0" xfId="2" applyFont="1" applyFill="1" applyBorder="1" applyAlignment="1">
      <alignment horizontal="left"/>
    </xf>
    <xf numFmtId="0" fontId="10" fillId="0" borderId="0" xfId="2" applyFont="1" applyFill="1" applyBorder="1"/>
    <xf numFmtId="164" fontId="6" fillId="0" borderId="0" xfId="2" applyNumberFormat="1" applyFont="1" applyFill="1" applyBorder="1" applyAlignment="1">
      <alignment horizontal="right"/>
    </xf>
    <xf numFmtId="0" fontId="11" fillId="0" borderId="0" xfId="2" applyFont="1" applyFill="1" applyBorder="1" applyAlignment="1">
      <alignment horizontal="left"/>
    </xf>
    <xf numFmtId="1" fontId="11" fillId="0" borderId="0" xfId="2" applyNumberFormat="1" applyFont="1" applyFill="1" applyBorder="1" applyAlignment="1">
      <alignment horizontal="right"/>
    </xf>
    <xf numFmtId="2" fontId="11" fillId="0" borderId="0" xfId="2" applyNumberFormat="1" applyFont="1" applyFill="1" applyBorder="1" applyAlignment="1">
      <alignment horizontal="right"/>
    </xf>
    <xf numFmtId="2" fontId="6" fillId="0" borderId="0" xfId="2" applyNumberFormat="1" applyFont="1" applyFill="1" applyBorder="1"/>
    <xf numFmtId="0" fontId="12" fillId="0" borderId="0" xfId="2" applyFont="1" applyFill="1" applyBorder="1"/>
    <xf numFmtId="0" fontId="13" fillId="0" borderId="0" xfId="2" applyFont="1" applyAlignment="1">
      <alignment horizontal="left" vertical="top"/>
    </xf>
    <xf numFmtId="1" fontId="6" fillId="0" borderId="0" xfId="2" applyNumberFormat="1" applyFont="1" applyFill="1" applyBorder="1"/>
    <xf numFmtId="0" fontId="9" fillId="0" borderId="0" xfId="2" applyFont="1" applyFill="1" applyBorder="1"/>
    <xf numFmtId="2" fontId="9" fillId="0" borderId="0" xfId="2" applyNumberFormat="1" applyFont="1" applyFill="1" applyBorder="1"/>
    <xf numFmtId="164" fontId="6" fillId="4" borderId="1" xfId="2" applyNumberFormat="1" applyFont="1" applyFill="1" applyBorder="1"/>
    <xf numFmtId="1" fontId="6" fillId="4" borderId="1" xfId="2" applyNumberFormat="1" applyFont="1" applyFill="1" applyBorder="1" applyAlignment="1">
      <alignment horizontal="right"/>
    </xf>
    <xf numFmtId="0" fontId="12" fillId="0" borderId="0" xfId="2" applyFont="1" applyFill="1" applyBorder="1" applyAlignment="1">
      <alignment horizontal="left"/>
    </xf>
    <xf numFmtId="0" fontId="6" fillId="0" borderId="0" xfId="2" applyFont="1"/>
    <xf numFmtId="0" fontId="11" fillId="0" borderId="0" xfId="2" applyFont="1" applyBorder="1" applyProtection="1"/>
    <xf numFmtId="164" fontId="11" fillId="0" borderId="0" xfId="2" applyNumberFormat="1" applyFont="1" applyBorder="1" applyProtection="1"/>
    <xf numFmtId="0" fontId="11" fillId="0" borderId="0" xfId="2" applyFont="1" applyBorder="1"/>
    <xf numFmtId="0" fontId="11" fillId="0" borderId="0" xfId="2" applyFont="1" applyFill="1" applyBorder="1" applyProtection="1"/>
    <xf numFmtId="0" fontId="11" fillId="0" borderId="0" xfId="2" applyFont="1" applyBorder="1" applyAlignment="1">
      <alignment horizontal="left"/>
    </xf>
    <xf numFmtId="0" fontId="6" fillId="0" borderId="0" xfId="2" applyFont="1" applyBorder="1" applyProtection="1"/>
    <xf numFmtId="164" fontId="6" fillId="0" borderId="0" xfId="2" applyNumberFormat="1" applyFont="1" applyBorder="1" applyProtection="1"/>
    <xf numFmtId="0" fontId="6" fillId="0" borderId="0" xfId="2" applyFont="1" applyBorder="1"/>
    <xf numFmtId="0" fontId="6" fillId="0" borderId="0" xfId="2" applyFont="1" applyFill="1" applyBorder="1" applyProtection="1"/>
    <xf numFmtId="0" fontId="6" fillId="0" borderId="0" xfId="2" applyFont="1" applyBorder="1" applyAlignment="1">
      <alignment vertical="top"/>
    </xf>
    <xf numFmtId="0" fontId="6" fillId="0" borderId="0" xfId="2" applyFont="1" applyFill="1" applyBorder="1" applyAlignment="1" applyProtection="1">
      <alignment horizontal="right"/>
      <protection locked="0"/>
    </xf>
    <xf numFmtId="0" fontId="6" fillId="0" borderId="0" xfId="2" applyFont="1" applyBorder="1" applyAlignment="1">
      <alignment vertical="center"/>
    </xf>
    <xf numFmtId="165" fontId="6" fillId="0" borderId="0" xfId="2" applyNumberFormat="1" applyFont="1" applyFill="1" applyBorder="1" applyAlignment="1" applyProtection="1">
      <alignment horizontal="right"/>
    </xf>
    <xf numFmtId="0" fontId="11" fillId="0" borderId="0" xfId="2" applyFont="1" applyFill="1" applyBorder="1"/>
    <xf numFmtId="2" fontId="6" fillId="0" borderId="0" xfId="2" applyNumberFormat="1" applyFont="1" applyFill="1" applyBorder="1" applyAlignment="1" applyProtection="1">
      <alignment horizontal="right"/>
    </xf>
    <xf numFmtId="2" fontId="6" fillId="0" borderId="0" xfId="2" applyNumberFormat="1" applyFont="1" applyFill="1" applyBorder="1" applyAlignment="1" applyProtection="1">
      <alignment horizontal="right"/>
      <protection locked="0"/>
    </xf>
    <xf numFmtId="164" fontId="6" fillId="0" borderId="0" xfId="2" applyNumberFormat="1" applyFont="1" applyFill="1" applyBorder="1" applyAlignment="1" applyProtection="1">
      <alignment horizontal="right"/>
      <protection locked="0"/>
    </xf>
    <xf numFmtId="1" fontId="6" fillId="5" borderId="1" xfId="2" applyNumberFormat="1" applyFont="1" applyFill="1" applyBorder="1" applyAlignment="1" applyProtection="1">
      <alignment horizontal="right"/>
      <protection locked="0"/>
    </xf>
    <xf numFmtId="0" fontId="6" fillId="0" borderId="0" xfId="2" applyFont="1" applyFill="1" applyBorder="1" applyAlignment="1" applyProtection="1">
      <alignment horizontal="right"/>
    </xf>
    <xf numFmtId="0" fontId="6" fillId="0" borderId="0" xfId="2" applyFont="1" applyBorder="1" applyAlignment="1" applyProtection="1">
      <alignment horizontal="left"/>
    </xf>
    <xf numFmtId="0" fontId="14" fillId="0" borderId="0" xfId="2" applyFont="1"/>
    <xf numFmtId="0" fontId="15" fillId="0" borderId="0" xfId="2" applyFont="1" applyFill="1" applyBorder="1"/>
    <xf numFmtId="3" fontId="14" fillId="0" borderId="0" xfId="2" applyNumberFormat="1" applyFont="1" applyBorder="1"/>
    <xf numFmtId="0" fontId="14" fillId="0" borderId="0" xfId="2" applyFont="1" applyBorder="1"/>
    <xf numFmtId="0" fontId="14" fillId="0" borderId="0" xfId="2" applyFont="1" applyBorder="1" applyProtection="1"/>
    <xf numFmtId="0" fontId="15" fillId="0" borderId="0" xfId="2" applyFont="1" applyBorder="1" applyAlignment="1">
      <alignment horizontal="left"/>
    </xf>
    <xf numFmtId="0" fontId="17" fillId="0" borderId="0" xfId="3" applyFont="1" applyFill="1" applyBorder="1" applyAlignment="1" applyProtection="1">
      <alignment horizontal="left"/>
    </xf>
    <xf numFmtId="0" fontId="21" fillId="0" borderId="0" xfId="2" applyFont="1" applyBorder="1"/>
    <xf numFmtId="1" fontId="15" fillId="0" borderId="0" xfId="2" applyNumberFormat="1" applyFont="1" applyFill="1" applyBorder="1"/>
    <xf numFmtId="2" fontId="11" fillId="0" borderId="0" xfId="2" applyNumberFormat="1" applyFont="1" applyFill="1" applyBorder="1"/>
    <xf numFmtId="1" fontId="11" fillId="0" borderId="0" xfId="2" applyNumberFormat="1" applyFont="1" applyFill="1" applyBorder="1"/>
    <xf numFmtId="0" fontId="11" fillId="0" borderId="0" xfId="2" quotePrefix="1" applyFont="1" applyFill="1" applyBorder="1"/>
    <xf numFmtId="1" fontId="11" fillId="4" borderId="1" xfId="2" applyNumberFormat="1" applyFont="1" applyFill="1" applyBorder="1"/>
    <xf numFmtId="0" fontId="11" fillId="0" borderId="0" xfId="2" applyFont="1"/>
    <xf numFmtId="166" fontId="11" fillId="0" borderId="0" xfId="4" applyNumberFormat="1" applyFont="1" applyFill="1" applyBorder="1" applyAlignment="1"/>
    <xf numFmtId="9" fontId="11" fillId="0" borderId="0" xfId="5" applyFont="1" applyFill="1" applyBorder="1"/>
    <xf numFmtId="164" fontId="6" fillId="5" borderId="1" xfId="2" applyNumberFormat="1" applyFont="1" applyFill="1" applyBorder="1" applyAlignment="1">
      <alignment horizontal="right"/>
    </xf>
    <xf numFmtId="167" fontId="11" fillId="4" borderId="1" xfId="5" applyNumberFormat="1" applyFont="1" applyFill="1" applyBorder="1"/>
    <xf numFmtId="0" fontId="8" fillId="0" borderId="0" xfId="2" applyFont="1" applyBorder="1" applyAlignment="1">
      <alignment vertical="top"/>
    </xf>
    <xf numFmtId="2" fontId="6" fillId="0" borderId="0" xfId="2" applyNumberFormat="1" applyFont="1" applyFill="1" applyBorder="1" applyAlignment="1">
      <alignment horizontal="right"/>
    </xf>
    <xf numFmtId="164" fontId="6" fillId="4" borderId="1" xfId="2" applyNumberFormat="1" applyFont="1" applyFill="1" applyBorder="1" applyAlignment="1">
      <alignment horizontal="right"/>
    </xf>
    <xf numFmtId="2" fontId="6" fillId="4" borderId="1" xfId="2" applyNumberFormat="1" applyFont="1" applyFill="1" applyBorder="1" applyAlignment="1">
      <alignment horizontal="right"/>
    </xf>
    <xf numFmtId="0" fontId="8" fillId="0" borderId="0" xfId="2" applyFont="1" applyFill="1" applyBorder="1" applyAlignment="1">
      <alignment horizontal="left"/>
    </xf>
    <xf numFmtId="0" fontId="6" fillId="4" borderId="1" xfId="2" applyFont="1" applyFill="1" applyBorder="1" applyAlignment="1">
      <alignment horizontal="right"/>
    </xf>
    <xf numFmtId="165" fontId="6" fillId="0" borderId="0" xfId="2" applyNumberFormat="1" applyFont="1" applyFill="1" applyBorder="1" applyAlignment="1">
      <alignment horizontal="left"/>
    </xf>
    <xf numFmtId="164" fontId="6" fillId="0" borderId="0" xfId="2" applyNumberFormat="1" applyFont="1" applyFill="1" applyBorder="1" applyAlignment="1">
      <alignment horizontal="left"/>
    </xf>
    <xf numFmtId="9" fontId="6" fillId="0" borderId="0" xfId="2" applyNumberFormat="1" applyFont="1" applyBorder="1" applyAlignment="1">
      <alignment vertical="top"/>
    </xf>
    <xf numFmtId="1" fontId="6" fillId="2" borderId="1" xfId="2" applyNumberFormat="1" applyFont="1" applyFill="1" applyBorder="1"/>
    <xf numFmtId="1" fontId="8" fillId="0" borderId="0" xfId="2" applyNumberFormat="1" applyFont="1" applyFill="1" applyBorder="1"/>
    <xf numFmtId="0" fontId="8" fillId="0" borderId="0" xfId="2" applyFont="1" applyFill="1" applyBorder="1" applyAlignment="1"/>
    <xf numFmtId="0" fontId="6" fillId="6" borderId="3" xfId="2" applyFont="1" applyFill="1" applyBorder="1"/>
    <xf numFmtId="164" fontId="6" fillId="6" borderId="2" xfId="2" applyNumberFormat="1" applyFont="1" applyFill="1" applyBorder="1" applyAlignment="1">
      <alignment horizontal="right"/>
    </xf>
    <xf numFmtId="0" fontId="6" fillId="6" borderId="4" xfId="2" applyFont="1" applyFill="1" applyBorder="1" applyAlignment="1"/>
    <xf numFmtId="0" fontId="6" fillId="6" borderId="5" xfId="2" applyFont="1" applyFill="1" applyBorder="1"/>
    <xf numFmtId="0" fontId="6" fillId="6" borderId="0" xfId="2" applyFont="1" applyFill="1" applyBorder="1" applyAlignment="1">
      <alignment horizontal="right"/>
    </xf>
    <xf numFmtId="0" fontId="6" fillId="6" borderId="6" xfId="2" applyFont="1" applyFill="1" applyBorder="1" applyAlignment="1"/>
    <xf numFmtId="0" fontId="6" fillId="6" borderId="7" xfId="2" applyFont="1" applyFill="1" applyBorder="1"/>
    <xf numFmtId="0" fontId="6" fillId="6" borderId="8" xfId="2" applyFont="1" applyFill="1" applyBorder="1" applyAlignment="1">
      <alignment horizontal="right"/>
    </xf>
    <xf numFmtId="0" fontId="6" fillId="6" borderId="9" xfId="2" applyFont="1" applyFill="1" applyBorder="1" applyAlignment="1"/>
    <xf numFmtId="164" fontId="6" fillId="2" borderId="1" xfId="2" applyNumberFormat="1" applyFont="1" applyFill="1" applyBorder="1"/>
    <xf numFmtId="0" fontId="22" fillId="0" borderId="0" xfId="2" applyFont="1" applyBorder="1" applyAlignment="1">
      <alignment vertical="top"/>
    </xf>
    <xf numFmtId="0" fontId="22" fillId="0" borderId="0" xfId="2" applyFont="1" applyFill="1" applyBorder="1" applyAlignment="1">
      <alignment horizontal="left"/>
    </xf>
    <xf numFmtId="0" fontId="22" fillId="6" borderId="3" xfId="2" applyFont="1" applyFill="1" applyBorder="1"/>
    <xf numFmtId="1" fontId="22" fillId="6" borderId="2" xfId="2" applyNumberFormat="1" applyFont="1" applyFill="1" applyBorder="1"/>
    <xf numFmtId="0" fontId="22" fillId="6" borderId="2" xfId="2" applyFont="1" applyFill="1" applyBorder="1" applyAlignment="1">
      <alignment horizontal="left"/>
    </xf>
    <xf numFmtId="0" fontId="22" fillId="6" borderId="2" xfId="2" applyFont="1" applyFill="1" applyBorder="1"/>
    <xf numFmtId="0" fontId="22" fillId="6" borderId="4" xfId="2" applyFont="1" applyFill="1" applyBorder="1" applyAlignment="1"/>
    <xf numFmtId="0" fontId="22" fillId="6" borderId="5" xfId="2" applyFont="1" applyFill="1" applyBorder="1"/>
    <xf numFmtId="1" fontId="22" fillId="6" borderId="0" xfId="2" applyNumberFormat="1" applyFont="1" applyFill="1" applyBorder="1"/>
    <xf numFmtId="0" fontId="22" fillId="6" borderId="0" xfId="2" applyFont="1" applyFill="1" applyBorder="1" applyAlignment="1">
      <alignment horizontal="left"/>
    </xf>
    <xf numFmtId="0" fontId="22" fillId="6" borderId="0" xfId="2" applyFont="1" applyFill="1" applyBorder="1"/>
    <xf numFmtId="0" fontId="22" fillId="6" borderId="6" xfId="2" applyFont="1" applyFill="1" applyBorder="1" applyAlignment="1"/>
    <xf numFmtId="164" fontId="22" fillId="6" borderId="0" xfId="2" applyNumberFormat="1" applyFont="1" applyFill="1" applyBorder="1"/>
    <xf numFmtId="167" fontId="22" fillId="6" borderId="0" xfId="2" applyNumberFormat="1" applyFont="1" applyFill="1" applyBorder="1"/>
    <xf numFmtId="0" fontId="22" fillId="6" borderId="7" xfId="2" applyFont="1" applyFill="1" applyBorder="1"/>
    <xf numFmtId="1" fontId="22" fillId="6" borderId="8" xfId="2" applyNumberFormat="1" applyFont="1" applyFill="1" applyBorder="1"/>
    <xf numFmtId="0" fontId="22" fillId="6" borderId="8" xfId="2" applyFont="1" applyFill="1" applyBorder="1" applyAlignment="1">
      <alignment horizontal="left"/>
    </xf>
    <xf numFmtId="0" fontId="22" fillId="6" borderId="8" xfId="2" applyFont="1" applyFill="1" applyBorder="1"/>
    <xf numFmtId="0" fontId="22" fillId="6" borderId="9" xfId="2" applyFont="1" applyFill="1" applyBorder="1" applyAlignment="1"/>
    <xf numFmtId="0" fontId="23" fillId="0" borderId="0" xfId="2" applyFont="1" applyBorder="1" applyAlignment="1">
      <alignment vertical="top"/>
    </xf>
    <xf numFmtId="167" fontId="23" fillId="0" borderId="0" xfId="2" applyNumberFormat="1" applyFont="1" applyBorder="1" applyAlignment="1">
      <alignment vertical="top"/>
    </xf>
    <xf numFmtId="0" fontId="24" fillId="0" borderId="0" xfId="2" applyFont="1" applyFill="1" applyBorder="1" applyAlignment="1">
      <alignment horizontal="left"/>
    </xf>
    <xf numFmtId="1" fontId="24" fillId="0" borderId="0" xfId="2" applyNumberFormat="1" applyFont="1" applyFill="1" applyBorder="1" applyAlignment="1">
      <alignment horizontal="right"/>
    </xf>
    <xf numFmtId="1" fontId="6" fillId="0" borderId="0" xfId="2" applyNumberFormat="1" applyFont="1" applyBorder="1" applyAlignment="1">
      <alignment vertical="top"/>
    </xf>
    <xf numFmtId="1" fontId="6" fillId="0" borderId="0" xfId="2" applyNumberFormat="1" applyFont="1" applyBorder="1" applyAlignment="1">
      <alignment vertical="center"/>
    </xf>
    <xf numFmtId="9" fontId="22" fillId="0" borderId="0" xfId="2" applyNumberFormat="1" applyFont="1" applyBorder="1" applyAlignment="1">
      <alignment vertical="top"/>
    </xf>
    <xf numFmtId="0" fontId="25" fillId="0" borderId="0" xfId="2" applyFont="1" applyFill="1" applyBorder="1"/>
    <xf numFmtId="1" fontId="25" fillId="0" borderId="0" xfId="2" applyNumberFormat="1" applyFont="1" applyFill="1" applyBorder="1"/>
    <xf numFmtId="0" fontId="25" fillId="0" borderId="0" xfId="2" applyFont="1" applyFill="1" applyBorder="1" applyAlignment="1">
      <alignment horizontal="left"/>
    </xf>
    <xf numFmtId="0" fontId="25" fillId="0" borderId="0" xfId="2" applyFont="1" applyFill="1" applyBorder="1" applyAlignment="1"/>
    <xf numFmtId="1" fontId="6" fillId="0" borderId="2" xfId="2" applyNumberFormat="1" applyFont="1" applyBorder="1" applyAlignment="1">
      <alignment vertical="center"/>
    </xf>
    <xf numFmtId="9" fontId="22" fillId="0" borderId="2" xfId="2" applyNumberFormat="1" applyFont="1" applyBorder="1" applyAlignment="1">
      <alignment vertical="top"/>
    </xf>
    <xf numFmtId="0" fontId="22" fillId="0" borderId="0" xfId="2" applyFont="1" applyFill="1" applyBorder="1"/>
    <xf numFmtId="1" fontId="22" fillId="0" borderId="0" xfId="2" applyNumberFormat="1" applyFont="1" applyFill="1" applyBorder="1"/>
    <xf numFmtId="0" fontId="22" fillId="0" borderId="0" xfId="2" applyFont="1" applyFill="1" applyBorder="1" applyAlignment="1"/>
    <xf numFmtId="9" fontId="6" fillId="0" borderId="0" xfId="2" applyNumberFormat="1" applyFont="1" applyBorder="1" applyAlignment="1">
      <alignment vertical="center"/>
    </xf>
    <xf numFmtId="3" fontId="6" fillId="0" borderId="0" xfId="2" applyNumberFormat="1" applyFont="1" applyFill="1" applyBorder="1" applyAlignment="1">
      <alignment horizontal="right"/>
    </xf>
    <xf numFmtId="1" fontId="6" fillId="4" borderId="1" xfId="2" applyNumberFormat="1" applyFont="1" applyFill="1" applyBorder="1"/>
    <xf numFmtId="0" fontId="26" fillId="0" borderId="0" xfId="2" applyFont="1" applyAlignment="1">
      <alignment vertical="top"/>
    </xf>
    <xf numFmtId="0" fontId="26" fillId="0" borderId="0" xfId="2" applyFont="1" applyBorder="1" applyAlignment="1">
      <alignment vertical="top"/>
    </xf>
    <xf numFmtId="168" fontId="26" fillId="0" borderId="0" xfId="2" applyNumberFormat="1" applyFont="1" applyBorder="1" applyAlignment="1">
      <alignment vertical="top"/>
    </xf>
    <xf numFmtId="0" fontId="25" fillId="0" borderId="0" xfId="2" applyFont="1" applyBorder="1" applyAlignment="1">
      <alignment vertical="top"/>
    </xf>
    <xf numFmtId="3" fontId="25" fillId="0" borderId="0" xfId="2" applyNumberFormat="1" applyFont="1" applyBorder="1" applyAlignment="1">
      <alignment vertical="top"/>
    </xf>
    <xf numFmtId="0" fontId="25" fillId="0" borderId="0" xfId="2" applyFont="1" applyAlignment="1">
      <alignment vertical="top"/>
    </xf>
    <xf numFmtId="168" fontId="25" fillId="2" borderId="1" xfId="2" applyNumberFormat="1" applyFont="1" applyFill="1" applyBorder="1" applyAlignment="1">
      <alignment vertical="top"/>
    </xf>
    <xf numFmtId="3" fontId="25" fillId="2" borderId="1" xfId="2" applyNumberFormat="1" applyFont="1" applyFill="1" applyBorder="1" applyAlignment="1">
      <alignment vertical="top"/>
    </xf>
    <xf numFmtId="168" fontId="25" fillId="0" borderId="0" xfId="2" applyNumberFormat="1" applyFont="1" applyBorder="1" applyAlignment="1">
      <alignment vertical="top"/>
    </xf>
    <xf numFmtId="0" fontId="27" fillId="0" borderId="0" xfId="2" applyFont="1" applyAlignment="1">
      <alignment vertical="top"/>
    </xf>
    <xf numFmtId="0" fontId="28" fillId="0" borderId="0" xfId="2" applyFont="1" applyAlignment="1">
      <alignment vertical="top"/>
    </xf>
    <xf numFmtId="3" fontId="26" fillId="2" borderId="1" xfId="2" applyNumberFormat="1" applyFont="1" applyFill="1" applyBorder="1" applyAlignment="1">
      <alignment vertical="top"/>
    </xf>
    <xf numFmtId="167" fontId="26" fillId="2" borderId="1" xfId="2" applyNumberFormat="1" applyFont="1" applyFill="1" applyBorder="1" applyAlignment="1">
      <alignment vertical="top"/>
    </xf>
    <xf numFmtId="0" fontId="6" fillId="0" borderId="0" xfId="2" applyFont="1" applyAlignment="1">
      <alignment vertical="center"/>
    </xf>
    <xf numFmtId="0" fontId="29" fillId="0" borderId="0" xfId="2" applyFont="1" applyAlignment="1">
      <alignment vertical="center"/>
    </xf>
    <xf numFmtId="168" fontId="29" fillId="0" borderId="0" xfId="2" applyNumberFormat="1" applyFont="1" applyAlignment="1">
      <alignment vertical="center"/>
    </xf>
    <xf numFmtId="0" fontId="30" fillId="0" borderId="0" xfId="2" applyFont="1" applyAlignment="1">
      <alignment vertical="center"/>
    </xf>
    <xf numFmtId="0" fontId="31" fillId="0" borderId="0" xfId="2" applyFont="1" applyAlignment="1">
      <alignment vertical="center"/>
    </xf>
    <xf numFmtId="9" fontId="0" fillId="0" borderId="0" xfId="1" applyFont="1" applyAlignment="1">
      <alignment vertical="center"/>
    </xf>
    <xf numFmtId="1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15" fontId="0" fillId="0" borderId="0" xfId="0" applyNumberFormat="1" applyAlignment="1">
      <alignment vertical="center"/>
    </xf>
    <xf numFmtId="9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170" fontId="0" fillId="0" borderId="0" xfId="17" applyNumberFormat="1" applyFont="1" applyAlignment="1">
      <alignment vertical="center"/>
    </xf>
    <xf numFmtId="167" fontId="0" fillId="0" borderId="0" xfId="0" applyNumberFormat="1" applyAlignment="1">
      <alignment vertical="center"/>
    </xf>
    <xf numFmtId="171" fontId="0" fillId="0" borderId="0" xfId="18" applyNumberFormat="1" applyFont="1" applyAlignment="1">
      <alignment vertical="center"/>
    </xf>
    <xf numFmtId="170" fontId="0" fillId="0" borderId="0" xfId="0" applyNumberFormat="1" applyAlignment="1">
      <alignment vertical="center"/>
    </xf>
    <xf numFmtId="0" fontId="33" fillId="0" borderId="0" xfId="0" applyFont="1" applyAlignment="1"/>
    <xf numFmtId="0" fontId="34" fillId="0" borderId="0" xfId="0" applyFont="1" applyAlignment="1">
      <alignment horizontal="center"/>
    </xf>
    <xf numFmtId="0" fontId="34" fillId="0" borderId="0" xfId="0" applyFont="1"/>
    <xf numFmtId="0" fontId="35" fillId="5" borderId="1" xfId="0" applyFont="1" applyFill="1" applyBorder="1" applyAlignment="1"/>
    <xf numFmtId="0" fontId="35" fillId="5" borderId="1" xfId="0" applyFont="1" applyFill="1" applyBorder="1" applyAlignment="1">
      <alignment horizontal="center"/>
    </xf>
    <xf numFmtId="0" fontId="34" fillId="0" borderId="0" xfId="0" applyFont="1" applyAlignment="1"/>
    <xf numFmtId="0" fontId="34" fillId="0" borderId="0" xfId="0" applyFont="1" applyAlignment="1">
      <alignment wrapText="1"/>
    </xf>
    <xf numFmtId="0" fontId="34" fillId="0" borderId="10" xfId="0" applyFont="1" applyBorder="1" applyAlignment="1">
      <alignment wrapText="1"/>
    </xf>
    <xf numFmtId="0" fontId="34" fillId="0" borderId="11" xfId="0" applyFont="1" applyBorder="1" applyAlignment="1">
      <alignment horizontal="left" wrapText="1"/>
    </xf>
    <xf numFmtId="0" fontId="34" fillId="0" borderId="11" xfId="0" applyFont="1" applyBorder="1" applyAlignment="1">
      <alignment horizontal="center" wrapText="1"/>
    </xf>
    <xf numFmtId="0" fontId="34" fillId="0" borderId="12" xfId="0" applyFont="1" applyBorder="1" applyAlignment="1">
      <alignment wrapText="1"/>
    </xf>
    <xf numFmtId="0" fontId="34" fillId="0" borderId="11" xfId="0" applyFont="1" applyBorder="1" applyAlignment="1">
      <alignment wrapText="1"/>
    </xf>
    <xf numFmtId="0" fontId="34" fillId="0" borderId="13" xfId="0" applyFont="1" applyBorder="1" applyAlignment="1">
      <alignment wrapText="1"/>
    </xf>
    <xf numFmtId="0" fontId="34" fillId="0" borderId="14" xfId="0" applyFont="1" applyBorder="1" applyAlignment="1">
      <alignment horizontal="center" wrapText="1"/>
    </xf>
    <xf numFmtId="0" fontId="34" fillId="0" borderId="15" xfId="0" applyFont="1" applyFill="1" applyBorder="1" applyAlignment="1">
      <alignment wrapText="1"/>
    </xf>
    <xf numFmtId="0" fontId="34" fillId="0" borderId="16" xfId="0" applyFont="1" applyFill="1" applyBorder="1" applyAlignment="1">
      <alignment horizontal="left"/>
    </xf>
    <xf numFmtId="2" fontId="34" fillId="0" borderId="16" xfId="0" applyNumberFormat="1" applyFont="1" applyFill="1" applyBorder="1" applyAlignment="1" applyProtection="1">
      <alignment horizontal="center"/>
      <protection locked="0"/>
    </xf>
    <xf numFmtId="0" fontId="39" fillId="0" borderId="17" xfId="0" applyFont="1" applyBorder="1"/>
    <xf numFmtId="0" fontId="40" fillId="0" borderId="16" xfId="0" applyFont="1" applyBorder="1" applyAlignment="1">
      <alignment shrinkToFit="1"/>
    </xf>
    <xf numFmtId="0" fontId="35" fillId="5" borderId="16" xfId="0" applyFont="1" applyFill="1" applyBorder="1" applyAlignment="1" applyProtection="1">
      <alignment horizontal="center"/>
      <protection locked="0"/>
    </xf>
    <xf numFmtId="0" fontId="39" fillId="0" borderId="4" xfId="0" applyFont="1" applyBorder="1" applyAlignment="1" applyProtection="1">
      <alignment horizontal="left"/>
      <protection locked="0"/>
    </xf>
    <xf numFmtId="2" fontId="5" fillId="0" borderId="16" xfId="0" applyNumberFormat="1" applyFont="1" applyBorder="1" applyAlignment="1" applyProtection="1">
      <alignment horizontal="center"/>
    </xf>
    <xf numFmtId="165" fontId="35" fillId="5" borderId="16" xfId="0" applyNumberFormat="1" applyFont="1" applyFill="1" applyBorder="1" applyAlignment="1" applyProtection="1">
      <alignment horizontal="center"/>
      <protection locked="0"/>
    </xf>
    <xf numFmtId="2" fontId="39" fillId="0" borderId="18" xfId="0" applyNumberFormat="1" applyFont="1" applyBorder="1" applyAlignment="1" applyProtection="1">
      <alignment horizontal="left"/>
      <protection locked="0"/>
    </xf>
    <xf numFmtId="0" fontId="41" fillId="0" borderId="0" xfId="19"/>
    <xf numFmtId="0" fontId="34" fillId="0" borderId="19" xfId="0" applyFont="1" applyBorder="1" applyAlignment="1">
      <alignment wrapText="1"/>
    </xf>
    <xf numFmtId="0" fontId="34" fillId="0" borderId="20" xfId="0" applyFont="1" applyBorder="1" applyAlignment="1">
      <alignment horizontal="left"/>
    </xf>
    <xf numFmtId="2" fontId="34" fillId="0" borderId="20" xfId="0" applyNumberFormat="1" applyFont="1" applyBorder="1" applyAlignment="1">
      <alignment horizontal="center"/>
    </xf>
    <xf numFmtId="0" fontId="39" fillId="0" borderId="1" xfId="0" applyFont="1" applyBorder="1"/>
    <xf numFmtId="0" fontId="40" fillId="0" borderId="1" xfId="0" applyFont="1" applyBorder="1" applyAlignment="1">
      <alignment shrinkToFit="1"/>
    </xf>
    <xf numFmtId="0" fontId="35" fillId="5" borderId="1" xfId="0" applyFont="1" applyFill="1" applyBorder="1" applyAlignment="1" applyProtection="1">
      <alignment horizontal="center"/>
      <protection locked="0"/>
    </xf>
    <xf numFmtId="0" fontId="39" fillId="0" borderId="21" xfId="0" applyFont="1" applyBorder="1" applyAlignment="1" applyProtection="1">
      <alignment horizontal="left"/>
      <protection locked="0"/>
    </xf>
    <xf numFmtId="2" fontId="5" fillId="0" borderId="1" xfId="0" applyNumberFormat="1" applyFont="1" applyBorder="1" applyAlignment="1" applyProtection="1">
      <alignment horizontal="center"/>
    </xf>
    <xf numFmtId="2" fontId="35" fillId="5" borderId="1" xfId="0" applyNumberFormat="1" applyFont="1" applyFill="1" applyBorder="1" applyAlignment="1" applyProtection="1">
      <alignment horizontal="center"/>
      <protection locked="0"/>
    </xf>
    <xf numFmtId="2" fontId="39" fillId="0" borderId="22" xfId="0" applyNumberFormat="1" applyFont="1" applyBorder="1" applyAlignment="1" applyProtection="1">
      <alignment horizontal="left"/>
      <protection locked="0"/>
    </xf>
    <xf numFmtId="0" fontId="34" fillId="0" borderId="23" xfId="0" applyFont="1" applyBorder="1" applyAlignment="1">
      <alignment wrapText="1"/>
    </xf>
    <xf numFmtId="0" fontId="35" fillId="5" borderId="24" xfId="0" applyFont="1" applyFill="1" applyBorder="1" applyAlignment="1" applyProtection="1">
      <alignment horizontal="left" shrinkToFit="1"/>
      <protection locked="0"/>
    </xf>
    <xf numFmtId="2" fontId="35" fillId="5" borderId="25" xfId="0" applyNumberFormat="1" applyFont="1" applyFill="1" applyBorder="1" applyAlignment="1" applyProtection="1">
      <alignment horizontal="center"/>
      <protection locked="0"/>
    </xf>
    <xf numFmtId="0" fontId="39" fillId="0" borderId="26" xfId="0" applyFont="1" applyBorder="1"/>
    <xf numFmtId="0" fontId="40" fillId="0" borderId="1" xfId="0" applyFont="1" applyBorder="1" applyAlignment="1">
      <alignment wrapText="1" shrinkToFit="1"/>
    </xf>
    <xf numFmtId="0" fontId="34" fillId="0" borderId="19" xfId="0" applyFont="1" applyFill="1" applyBorder="1" applyAlignment="1">
      <alignment wrapText="1"/>
    </xf>
    <xf numFmtId="2" fontId="34" fillId="0" borderId="16" xfId="0" applyNumberFormat="1" applyFont="1" applyFill="1" applyBorder="1" applyAlignment="1">
      <alignment horizontal="center"/>
    </xf>
    <xf numFmtId="0" fontId="34" fillId="0" borderId="1" xfId="0" applyFont="1" applyBorder="1" applyAlignment="1">
      <alignment horizontal="left"/>
    </xf>
    <xf numFmtId="2" fontId="34" fillId="0" borderId="1" xfId="0" applyNumberFormat="1" applyFont="1" applyBorder="1" applyAlignment="1">
      <alignment horizontal="center"/>
    </xf>
    <xf numFmtId="0" fontId="34" fillId="0" borderId="1" xfId="0" applyFont="1" applyBorder="1" applyAlignment="1" applyProtection="1">
      <alignment horizontal="center"/>
      <protection locked="0"/>
    </xf>
    <xf numFmtId="0" fontId="39" fillId="0" borderId="21" xfId="0" applyFont="1" applyBorder="1" applyAlignment="1" applyProtection="1">
      <alignment horizontal="center"/>
      <protection locked="0"/>
    </xf>
    <xf numFmtId="2" fontId="34" fillId="0" borderId="1" xfId="0" applyNumberFormat="1" applyFont="1" applyBorder="1" applyAlignment="1" applyProtection="1">
      <alignment horizontal="center"/>
      <protection locked="0"/>
    </xf>
    <xf numFmtId="2" fontId="34" fillId="0" borderId="22" xfId="0" applyNumberFormat="1" applyFont="1" applyBorder="1" applyAlignment="1" applyProtection="1">
      <alignment horizontal="center"/>
      <protection locked="0"/>
    </xf>
    <xf numFmtId="0" fontId="34" fillId="0" borderId="27" xfId="0" applyFont="1" applyBorder="1" applyAlignment="1">
      <alignment wrapText="1"/>
    </xf>
    <xf numFmtId="0" fontId="34" fillId="0" borderId="28" xfId="0" applyFont="1" applyBorder="1" applyAlignment="1">
      <alignment horizontal="left"/>
    </xf>
    <xf numFmtId="2" fontId="34" fillId="0" borderId="28" xfId="0" applyNumberFormat="1" applyFont="1" applyBorder="1" applyAlignment="1">
      <alignment horizontal="center"/>
    </xf>
    <xf numFmtId="0" fontId="39" fillId="0" borderId="28" xfId="0" applyFont="1" applyBorder="1"/>
    <xf numFmtId="0" fontId="40" fillId="0" borderId="28" xfId="0" applyFont="1" applyBorder="1"/>
    <xf numFmtId="0" fontId="34" fillId="0" borderId="28" xfId="0" applyFont="1" applyBorder="1" applyAlignment="1" applyProtection="1">
      <alignment horizontal="center"/>
      <protection locked="0"/>
    </xf>
    <xf numFmtId="0" fontId="39" fillId="0" borderId="29" xfId="0" applyFont="1" applyBorder="1" applyAlignment="1" applyProtection="1">
      <alignment horizontal="center"/>
      <protection locked="0"/>
    </xf>
    <xf numFmtId="2" fontId="5" fillId="0" borderId="28" xfId="0" applyNumberFormat="1" applyFont="1" applyBorder="1" applyAlignment="1" applyProtection="1">
      <alignment horizontal="center"/>
    </xf>
    <xf numFmtId="2" fontId="34" fillId="0" borderId="28" xfId="0" applyNumberFormat="1" applyFont="1" applyBorder="1" applyProtection="1">
      <protection locked="0"/>
    </xf>
    <xf numFmtId="2" fontId="34" fillId="0" borderId="30" xfId="0" applyNumberFormat="1" applyFont="1" applyBorder="1" applyProtection="1">
      <protection locked="0"/>
    </xf>
    <xf numFmtId="0" fontId="42" fillId="0" borderId="0" xfId="0" applyFont="1" applyBorder="1" applyAlignment="1"/>
    <xf numFmtId="0" fontId="34" fillId="0" borderId="0" xfId="0" applyFont="1" applyBorder="1" applyAlignment="1">
      <alignment horizontal="left"/>
    </xf>
    <xf numFmtId="2" fontId="34" fillId="0" borderId="0" xfId="0" applyNumberFormat="1" applyFont="1" applyBorder="1" applyAlignment="1">
      <alignment horizontal="center"/>
    </xf>
    <xf numFmtId="0" fontId="39" fillId="0" borderId="0" xfId="0" applyFont="1" applyBorder="1"/>
    <xf numFmtId="0" fontId="34" fillId="0" borderId="0" xfId="0" applyFont="1" applyBorder="1"/>
    <xf numFmtId="0" fontId="34" fillId="0" borderId="0" xfId="0" applyFont="1" applyBorder="1" applyAlignment="1" applyProtection="1">
      <alignment horizontal="center"/>
      <protection locked="0"/>
    </xf>
    <xf numFmtId="0" fontId="34" fillId="0" borderId="0" xfId="0" applyFont="1" applyBorder="1" applyProtection="1">
      <protection locked="0"/>
    </xf>
    <xf numFmtId="0" fontId="34" fillId="0" borderId="0" xfId="0" applyFont="1" applyAlignment="1">
      <alignment horizontal="left" wrapText="1" indent="3"/>
    </xf>
    <xf numFmtId="0" fontId="35" fillId="5" borderId="31" xfId="0" applyFont="1" applyFill="1" applyBorder="1" applyAlignment="1" applyProtection="1">
      <alignment horizontal="center"/>
      <protection locked="0"/>
    </xf>
    <xf numFmtId="0" fontId="39" fillId="0" borderId="0" xfId="0" applyFont="1"/>
    <xf numFmtId="2" fontId="34" fillId="0" borderId="0" xfId="0" applyNumberFormat="1" applyFont="1" applyAlignment="1">
      <alignment horizontal="center"/>
    </xf>
    <xf numFmtId="165" fontId="34" fillId="0" borderId="0" xfId="0" applyNumberFormat="1" applyFont="1" applyAlignment="1">
      <alignment horizontal="center"/>
    </xf>
    <xf numFmtId="0" fontId="34" fillId="0" borderId="11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0" fontId="34" fillId="0" borderId="15" xfId="0" applyFont="1" applyBorder="1" applyAlignment="1">
      <alignment horizontal="left" wrapText="1" indent="3"/>
    </xf>
    <xf numFmtId="165" fontId="34" fillId="0" borderId="16" xfId="0" applyNumberFormat="1" applyFont="1" applyFill="1" applyBorder="1" applyAlignment="1">
      <alignment horizontal="center"/>
    </xf>
    <xf numFmtId="0" fontId="34" fillId="0" borderId="16" xfId="0" applyFont="1" applyBorder="1" applyAlignment="1">
      <alignment horizontal="center"/>
    </xf>
    <xf numFmtId="2" fontId="39" fillId="0" borderId="18" xfId="0" applyNumberFormat="1" applyFont="1" applyBorder="1" applyAlignment="1">
      <alignment horizontal="left" shrinkToFit="1"/>
    </xf>
    <xf numFmtId="0" fontId="34" fillId="0" borderId="19" xfId="0" applyFont="1" applyBorder="1" applyAlignment="1">
      <alignment horizontal="left" wrapText="1" indent="3"/>
    </xf>
    <xf numFmtId="165" fontId="34" fillId="0" borderId="1" xfId="0" applyNumberFormat="1" applyFont="1" applyFill="1" applyBorder="1" applyAlignment="1">
      <alignment horizontal="center"/>
    </xf>
    <xf numFmtId="0" fontId="34" fillId="0" borderId="1" xfId="0" applyFont="1" applyBorder="1" applyAlignment="1">
      <alignment horizontal="center"/>
    </xf>
    <xf numFmtId="2" fontId="39" fillId="0" borderId="22" xfId="0" applyNumberFormat="1" applyFont="1" applyBorder="1" applyAlignment="1">
      <alignment horizontal="left" shrinkToFit="1"/>
    </xf>
    <xf numFmtId="3" fontId="34" fillId="0" borderId="0" xfId="0" applyNumberFormat="1" applyFont="1" applyAlignment="1">
      <alignment horizontal="center"/>
    </xf>
    <xf numFmtId="0" fontId="34" fillId="0" borderId="0" xfId="0" applyFont="1" applyAlignment="1">
      <alignment shrinkToFit="1"/>
    </xf>
    <xf numFmtId="0" fontId="34" fillId="0" borderId="27" xfId="0" applyFont="1" applyBorder="1" applyAlignment="1">
      <alignment horizontal="left" wrapText="1" indent="3"/>
    </xf>
    <xf numFmtId="165" fontId="34" fillId="0" borderId="28" xfId="0" applyNumberFormat="1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2" fontId="39" fillId="0" borderId="30" xfId="0" applyNumberFormat="1" applyFont="1" applyBorder="1" applyAlignment="1">
      <alignment horizontal="left" shrinkToFit="1"/>
    </xf>
    <xf numFmtId="0" fontId="34" fillId="0" borderId="32" xfId="0" applyFont="1" applyBorder="1" applyAlignment="1">
      <alignment wrapText="1"/>
    </xf>
    <xf numFmtId="0" fontId="34" fillId="0" borderId="33" xfId="0" applyFont="1" applyBorder="1" applyAlignment="1">
      <alignment horizontal="center" wrapText="1"/>
    </xf>
    <xf numFmtId="0" fontId="34" fillId="0" borderId="34" xfId="0" applyFont="1" applyBorder="1" applyAlignment="1">
      <alignment horizontal="center" wrapText="1"/>
    </xf>
    <xf numFmtId="165" fontId="34" fillId="0" borderId="1" xfId="0" applyNumberFormat="1" applyFont="1" applyBorder="1" applyAlignment="1">
      <alignment horizontal="center"/>
    </xf>
    <xf numFmtId="0" fontId="39" fillId="0" borderId="22" xfId="0" applyFont="1" applyBorder="1"/>
    <xf numFmtId="165" fontId="34" fillId="0" borderId="28" xfId="0" applyNumberFormat="1" applyFont="1" applyFill="1" applyBorder="1" applyAlignment="1">
      <alignment horizontal="center"/>
    </xf>
    <xf numFmtId="0" fontId="39" fillId="0" borderId="30" xfId="0" applyFont="1" applyBorder="1"/>
    <xf numFmtId="0" fontId="42" fillId="0" borderId="0" xfId="0" applyFont="1" applyAlignment="1">
      <alignment horizontal="left" indent="3"/>
    </xf>
    <xf numFmtId="2" fontId="44" fillId="0" borderId="0" xfId="0" applyNumberFormat="1" applyFont="1" applyAlignment="1">
      <alignment horizontal="left" indent="3"/>
    </xf>
    <xf numFmtId="0" fontId="34" fillId="0" borderId="14" xfId="0" applyFont="1" applyBorder="1"/>
    <xf numFmtId="0" fontId="34" fillId="0" borderId="15" xfId="0" applyFont="1" applyBorder="1" applyAlignment="1">
      <alignment wrapText="1"/>
    </xf>
    <xf numFmtId="0" fontId="34" fillId="0" borderId="16" xfId="0" applyFont="1" applyFill="1" applyBorder="1" applyAlignment="1">
      <alignment horizontal="center"/>
    </xf>
    <xf numFmtId="0" fontId="39" fillId="0" borderId="18" xfId="0" applyFont="1" applyBorder="1"/>
    <xf numFmtId="0" fontId="34" fillId="0" borderId="35" xfId="0" applyFont="1" applyBorder="1" applyAlignment="1">
      <alignment wrapText="1"/>
    </xf>
    <xf numFmtId="0" fontId="34" fillId="0" borderId="36" xfId="0" applyFont="1" applyBorder="1"/>
    <xf numFmtId="0" fontId="34" fillId="0" borderId="37" xfId="0" applyFont="1" applyBorder="1"/>
    <xf numFmtId="2" fontId="34" fillId="0" borderId="1" xfId="0" applyNumberFormat="1" applyFont="1" applyFill="1" applyBorder="1" applyAlignment="1">
      <alignment horizontal="center"/>
    </xf>
    <xf numFmtId="0" fontId="39" fillId="0" borderId="22" xfId="0" applyFont="1" applyBorder="1" applyAlignment="1">
      <alignment shrinkToFit="1"/>
    </xf>
    <xf numFmtId="2" fontId="34" fillId="0" borderId="28" xfId="0" applyNumberFormat="1" applyFont="1" applyFill="1" applyBorder="1" applyAlignment="1">
      <alignment horizontal="center"/>
    </xf>
    <xf numFmtId="3" fontId="34" fillId="0" borderId="38" xfId="0" applyNumberFormat="1" applyFont="1" applyFill="1" applyBorder="1" applyAlignment="1">
      <alignment horizontal="center"/>
    </xf>
    <xf numFmtId="0" fontId="34" fillId="0" borderId="0" xfId="0" applyFont="1" applyAlignment="1">
      <alignment horizontal="right"/>
    </xf>
    <xf numFmtId="1" fontId="35" fillId="5" borderId="31" xfId="0" applyNumberFormat="1" applyFont="1" applyFill="1" applyBorder="1" applyAlignment="1" applyProtection="1">
      <alignment horizontal="center"/>
      <protection locked="0"/>
    </xf>
    <xf numFmtId="3" fontId="34" fillId="0" borderId="18" xfId="0" applyNumberFormat="1" applyFont="1" applyBorder="1" applyAlignment="1">
      <alignment horizontal="center"/>
    </xf>
    <xf numFmtId="0" fontId="34" fillId="0" borderId="1" xfId="0" applyFont="1" applyFill="1" applyBorder="1" applyAlignment="1">
      <alignment horizontal="center"/>
    </xf>
    <xf numFmtId="3" fontId="34" fillId="0" borderId="22" xfId="0" applyNumberFormat="1" applyFont="1" applyBorder="1" applyAlignment="1">
      <alignment horizontal="center"/>
    </xf>
    <xf numFmtId="0" fontId="34" fillId="0" borderId="28" xfId="0" applyFont="1" applyFill="1" applyBorder="1" applyAlignment="1">
      <alignment horizontal="center"/>
    </xf>
    <xf numFmtId="3" fontId="34" fillId="0" borderId="30" xfId="0" applyNumberFormat="1" applyFont="1" applyBorder="1" applyAlignment="1">
      <alignment horizontal="center"/>
    </xf>
    <xf numFmtId="1" fontId="34" fillId="0" borderId="16" xfId="0" applyNumberFormat="1" applyFont="1" applyBorder="1" applyAlignment="1">
      <alignment horizontal="center"/>
    </xf>
    <xf numFmtId="164" fontId="34" fillId="0" borderId="18" xfId="0" applyNumberFormat="1" applyFont="1" applyBorder="1" applyAlignment="1">
      <alignment horizontal="center"/>
    </xf>
    <xf numFmtId="1" fontId="34" fillId="0" borderId="1" xfId="0" applyNumberFormat="1" applyFont="1" applyBorder="1" applyAlignment="1">
      <alignment horizontal="center"/>
    </xf>
    <xf numFmtId="164" fontId="34" fillId="0" borderId="22" xfId="0" applyNumberFormat="1" applyFont="1" applyBorder="1" applyAlignment="1">
      <alignment horizontal="center"/>
    </xf>
    <xf numFmtId="1" fontId="34" fillId="0" borderId="28" xfId="0" applyNumberFormat="1" applyFont="1" applyBorder="1" applyAlignment="1">
      <alignment horizontal="center"/>
    </xf>
    <xf numFmtId="164" fontId="34" fillId="0" borderId="30" xfId="0" applyNumberFormat="1" applyFont="1" applyBorder="1" applyAlignment="1">
      <alignment horizontal="center"/>
    </xf>
    <xf numFmtId="0" fontId="45" fillId="0" borderId="0" xfId="0" applyFont="1" applyAlignment="1">
      <alignment wrapText="1"/>
    </xf>
    <xf numFmtId="0" fontId="42" fillId="0" borderId="0" xfId="0" applyFont="1" applyAlignment="1"/>
    <xf numFmtId="0" fontId="46" fillId="0" borderId="0" xfId="0" applyFont="1" applyAlignment="1"/>
    <xf numFmtId="172" fontId="0" fillId="0" borderId="0" xfId="0" applyNumberFormat="1" applyAlignment="1">
      <alignment vertical="center"/>
    </xf>
    <xf numFmtId="173" fontId="0" fillId="0" borderId="0" xfId="0" applyNumberFormat="1" applyAlignment="1">
      <alignment vertical="center"/>
    </xf>
    <xf numFmtId="6" fontId="0" fillId="0" borderId="0" xfId="0" applyNumberFormat="1" applyAlignment="1">
      <alignment vertical="center"/>
    </xf>
    <xf numFmtId="3" fontId="0" fillId="0" borderId="0" xfId="0" applyNumberFormat="1" applyAlignment="1">
      <alignment vertical="center"/>
    </xf>
    <xf numFmtId="0" fontId="48" fillId="0" borderId="0" xfId="0" applyFont="1" applyAlignment="1">
      <alignment vertical="center"/>
    </xf>
    <xf numFmtId="2" fontId="0" fillId="0" borderId="0" xfId="0" applyNumberForma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9" fillId="0" borderId="0" xfId="0" applyFont="1" applyAlignment="1">
      <alignment vertical="center"/>
    </xf>
    <xf numFmtId="1" fontId="0" fillId="0" borderId="5" xfId="0" applyNumberFormat="1" applyBorder="1" applyAlignment="1">
      <alignment horizontal="center" vertical="center"/>
    </xf>
    <xf numFmtId="9" fontId="0" fillId="0" borderId="0" xfId="1" applyNumberFormat="1" applyFont="1" applyAlignment="1">
      <alignment vertical="center"/>
    </xf>
    <xf numFmtId="174" fontId="0" fillId="0" borderId="0" xfId="0" applyNumberFormat="1" applyAlignment="1">
      <alignment vertical="center"/>
    </xf>
    <xf numFmtId="167" fontId="0" fillId="0" borderId="0" xfId="0" applyNumberFormat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7" fontId="0" fillId="0" borderId="0" xfId="1" applyNumberFormat="1" applyFont="1" applyAlignment="1">
      <alignment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34" fillId="0" borderId="0" xfId="0" applyFont="1" applyAlignment="1">
      <alignment vertical="center" wrapText="1"/>
    </xf>
    <xf numFmtId="2" fontId="0" fillId="0" borderId="0" xfId="0" applyNumberFormat="1"/>
    <xf numFmtId="0" fontId="34" fillId="0" borderId="39" xfId="0" applyFont="1" applyBorder="1" applyAlignment="1">
      <alignment vertical="center" wrapText="1"/>
    </xf>
    <xf numFmtId="175" fontId="0" fillId="0" borderId="0" xfId="0" applyNumberFormat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53" fillId="0" borderId="0" xfId="2" applyFont="1" applyFill="1" applyBorder="1" applyAlignment="1" applyProtection="1">
      <alignment horizontal="right" vertical="center"/>
    </xf>
    <xf numFmtId="0" fontId="53" fillId="0" borderId="41" xfId="2" applyFont="1" applyFill="1" applyBorder="1" applyAlignment="1" applyProtection="1">
      <alignment horizontal="right" vertical="center"/>
    </xf>
    <xf numFmtId="0" fontId="53" fillId="0" borderId="0" xfId="2" applyFont="1" applyFill="1" applyBorder="1" applyAlignment="1" applyProtection="1">
      <alignment horizontal="left" vertical="center"/>
      <protection hidden="1"/>
    </xf>
    <xf numFmtId="3" fontId="53" fillId="0" borderId="0" xfId="2" applyNumberFormat="1" applyFont="1" applyFill="1" applyBorder="1" applyAlignment="1" applyProtection="1">
      <alignment horizontal="right" vertical="center"/>
      <protection locked="0"/>
    </xf>
    <xf numFmtId="0" fontId="53" fillId="0" borderId="0" xfId="2" applyFont="1" applyFill="1" applyBorder="1" applyAlignment="1" applyProtection="1">
      <alignment vertical="center"/>
      <protection hidden="1"/>
    </xf>
    <xf numFmtId="168" fontId="53" fillId="0" borderId="0" xfId="2" applyNumberFormat="1" applyFont="1" applyFill="1" applyBorder="1" applyAlignment="1" applyProtection="1">
      <alignment horizontal="right" vertical="center"/>
      <protection locked="0"/>
    </xf>
    <xf numFmtId="168" fontId="53" fillId="0" borderId="0" xfId="2" applyNumberFormat="1" applyFont="1" applyFill="1" applyBorder="1" applyAlignment="1" applyProtection="1">
      <alignment horizontal="center" vertical="center"/>
      <protection hidden="1"/>
    </xf>
    <xf numFmtId="0" fontId="53" fillId="0" borderId="0" xfId="2" applyFont="1" applyFill="1" applyBorder="1" applyAlignment="1" applyProtection="1">
      <alignment horizontal="right" vertical="center"/>
      <protection hidden="1"/>
    </xf>
    <xf numFmtId="3" fontId="53" fillId="0" borderId="0" xfId="2" applyNumberFormat="1" applyFont="1" applyFill="1" applyBorder="1" applyAlignment="1" applyProtection="1">
      <alignment horizontal="center" vertical="center"/>
      <protection hidden="1"/>
    </xf>
    <xf numFmtId="0" fontId="56" fillId="0" borderId="43" xfId="2" applyFont="1" applyFill="1" applyBorder="1" applyAlignment="1" applyProtection="1">
      <alignment vertical="center"/>
      <protection hidden="1"/>
    </xf>
    <xf numFmtId="0" fontId="53" fillId="0" borderId="12" xfId="2" applyFont="1" applyFill="1" applyBorder="1" applyAlignment="1" applyProtection="1">
      <alignment vertical="center"/>
      <protection hidden="1"/>
    </xf>
    <xf numFmtId="0" fontId="53" fillId="0" borderId="12" xfId="2" applyFont="1" applyFill="1" applyBorder="1" applyAlignment="1" applyProtection="1">
      <alignment horizontal="left" vertical="center"/>
      <protection hidden="1"/>
    </xf>
    <xf numFmtId="0" fontId="56" fillId="0" borderId="0" xfId="2" applyFont="1" applyFill="1" applyBorder="1" applyAlignment="1" applyProtection="1">
      <alignment vertical="center"/>
      <protection hidden="1"/>
    </xf>
    <xf numFmtId="0" fontId="53" fillId="0" borderId="0" xfId="2" applyFont="1" applyFill="1" applyBorder="1" applyAlignment="1" applyProtection="1">
      <alignment horizontal="right" vertical="center"/>
      <protection locked="0"/>
    </xf>
    <xf numFmtId="3" fontId="53" fillId="0" borderId="0" xfId="2" applyNumberFormat="1" applyFont="1" applyFill="1" applyBorder="1" applyAlignment="1" applyProtection="1">
      <alignment horizontal="right" vertical="center"/>
    </xf>
    <xf numFmtId="1" fontId="53" fillId="0" borderId="0" xfId="2" applyNumberFormat="1" applyFont="1" applyFill="1" applyBorder="1" applyAlignment="1" applyProtection="1">
      <alignment horizontal="right" vertical="center"/>
      <protection locked="0"/>
    </xf>
    <xf numFmtId="167" fontId="53" fillId="0" borderId="0" xfId="1" applyNumberFormat="1" applyFont="1" applyFill="1" applyBorder="1" applyAlignment="1" applyProtection="1">
      <alignment horizontal="right" vertical="center"/>
      <protection locked="0"/>
    </xf>
    <xf numFmtId="0" fontId="53" fillId="0" borderId="0" xfId="2" applyFont="1" applyFill="1" applyBorder="1" applyAlignment="1" applyProtection="1">
      <alignment horizontal="center" vertical="center"/>
      <protection hidden="1"/>
    </xf>
    <xf numFmtId="2" fontId="53" fillId="0" borderId="0" xfId="2" applyNumberFormat="1" applyFont="1" applyFill="1" applyBorder="1" applyAlignment="1" applyProtection="1">
      <alignment horizontal="left" vertical="center"/>
      <protection hidden="1"/>
    </xf>
    <xf numFmtId="0" fontId="56" fillId="0" borderId="0" xfId="2" applyFont="1" applyFill="1" applyBorder="1" applyAlignment="1" applyProtection="1">
      <alignment horizontal="left" vertical="center"/>
      <protection hidden="1"/>
    </xf>
    <xf numFmtId="0" fontId="56" fillId="0" borderId="0" xfId="2" applyFont="1" applyFill="1" applyBorder="1" applyAlignment="1" applyProtection="1">
      <alignment horizontal="center" vertical="center"/>
      <protection hidden="1"/>
    </xf>
    <xf numFmtId="177" fontId="56" fillId="0" borderId="0" xfId="2" applyNumberFormat="1" applyFont="1" applyFill="1" applyBorder="1" applyAlignment="1" applyProtection="1">
      <alignment horizontal="center" vertical="center"/>
      <protection hidden="1"/>
    </xf>
    <xf numFmtId="164" fontId="53" fillId="0" borderId="0" xfId="2" applyNumberFormat="1" applyFont="1" applyFill="1" applyBorder="1" applyAlignment="1" applyProtection="1">
      <alignment horizontal="center" vertical="center"/>
      <protection hidden="1"/>
    </xf>
    <xf numFmtId="9" fontId="53" fillId="0" borderId="0" xfId="5" applyFont="1" applyFill="1" applyBorder="1" applyAlignment="1" applyProtection="1">
      <alignment horizontal="center" vertical="center"/>
      <protection hidden="1"/>
    </xf>
    <xf numFmtId="3" fontId="56" fillId="0" borderId="0" xfId="2" applyNumberFormat="1" applyFont="1" applyFill="1" applyBorder="1" applyAlignment="1" applyProtection="1">
      <alignment horizontal="center" vertical="center"/>
      <protection hidden="1"/>
    </xf>
    <xf numFmtId="9" fontId="56" fillId="0" borderId="0" xfId="5" applyFont="1" applyFill="1" applyBorder="1" applyAlignment="1" applyProtection="1">
      <alignment horizontal="center" vertical="center"/>
      <protection hidden="1"/>
    </xf>
    <xf numFmtId="0" fontId="53" fillId="0" borderId="0" xfId="2" applyFont="1" applyFill="1" applyBorder="1" applyAlignment="1" applyProtection="1">
      <alignment vertical="center"/>
    </xf>
    <xf numFmtId="3" fontId="53" fillId="0" borderId="0" xfId="2" applyNumberFormat="1" applyFont="1" applyFill="1" applyBorder="1" applyAlignment="1" applyProtection="1">
      <alignment horizontal="center" vertical="center"/>
      <protection locked="0"/>
    </xf>
    <xf numFmtId="176" fontId="56" fillId="0" borderId="0" xfId="2" applyNumberFormat="1" applyFont="1" applyFill="1" applyBorder="1" applyAlignment="1" applyProtection="1">
      <alignment horizontal="center" vertical="center"/>
      <protection hidden="1"/>
    </xf>
    <xf numFmtId="9" fontId="56" fillId="0" borderId="0" xfId="2" applyNumberFormat="1" applyFont="1" applyFill="1" applyBorder="1" applyAlignment="1" applyProtection="1">
      <alignment horizontal="center" vertical="center"/>
    </xf>
    <xf numFmtId="168" fontId="56" fillId="0" borderId="0" xfId="2" applyNumberFormat="1" applyFont="1" applyFill="1" applyBorder="1" applyAlignment="1" applyProtection="1">
      <alignment horizontal="center" vertical="center"/>
      <protection hidden="1"/>
    </xf>
    <xf numFmtId="1" fontId="56" fillId="0" borderId="0" xfId="2" applyNumberFormat="1" applyFont="1" applyFill="1" applyBorder="1" applyAlignment="1" applyProtection="1">
      <alignment horizontal="center" vertical="center"/>
      <protection hidden="1"/>
    </xf>
    <xf numFmtId="0" fontId="56" fillId="0" borderId="0" xfId="0" applyFont="1" applyFill="1" applyAlignment="1">
      <alignment vertical="center"/>
    </xf>
    <xf numFmtId="0" fontId="53" fillId="0" borderId="0" xfId="0" applyFont="1" applyFill="1" applyAlignment="1">
      <alignment vertical="center"/>
    </xf>
    <xf numFmtId="0" fontId="53" fillId="0" borderId="0" xfId="0" applyFont="1" applyFill="1" applyBorder="1" applyAlignment="1">
      <alignment vertical="center"/>
    </xf>
    <xf numFmtId="0" fontId="56" fillId="0" borderId="0" xfId="2" applyNumberFormat="1" applyFont="1" applyFill="1" applyAlignment="1">
      <alignment horizontal="right" vertical="center" wrapText="1"/>
    </xf>
    <xf numFmtId="4" fontId="53" fillId="0" borderId="0" xfId="2" applyNumberFormat="1" applyFont="1" applyFill="1" applyAlignment="1" applyProtection="1">
      <alignment vertical="center"/>
      <protection locked="0"/>
    </xf>
    <xf numFmtId="0" fontId="53" fillId="0" borderId="0" xfId="0" applyFont="1" applyFill="1" applyAlignment="1">
      <alignment horizontal="left" vertical="center"/>
    </xf>
    <xf numFmtId="0" fontId="53" fillId="0" borderId="0" xfId="0" applyFont="1" applyFill="1" applyBorder="1" applyAlignment="1">
      <alignment horizontal="left" vertical="center"/>
    </xf>
    <xf numFmtId="0" fontId="53" fillId="0" borderId="0" xfId="0" applyFont="1" applyFill="1" applyBorder="1" applyAlignment="1">
      <alignment horizontal="center" vertical="center"/>
    </xf>
    <xf numFmtId="0" fontId="53" fillId="0" borderId="0" xfId="2" applyFont="1" applyFill="1" applyAlignment="1">
      <alignment horizontal="left" vertical="center"/>
    </xf>
    <xf numFmtId="4" fontId="53" fillId="0" borderId="0" xfId="2" applyNumberFormat="1" applyFont="1" applyFill="1" applyAlignment="1">
      <alignment vertical="center"/>
    </xf>
    <xf numFmtId="0" fontId="53" fillId="0" borderId="0" xfId="2" applyFont="1" applyFill="1" applyAlignment="1">
      <alignment vertical="center"/>
    </xf>
    <xf numFmtId="0" fontId="53" fillId="0" borderId="0" xfId="0" applyFont="1" applyFill="1" applyAlignment="1">
      <alignment horizontal="center" vertical="center"/>
    </xf>
    <xf numFmtId="0" fontId="56" fillId="0" borderId="0" xfId="2" applyFont="1" applyFill="1" applyBorder="1" applyAlignment="1" applyProtection="1">
      <alignment horizontal="center" vertical="center" wrapText="1"/>
      <protection hidden="1"/>
    </xf>
    <xf numFmtId="9" fontId="53" fillId="0" borderId="0" xfId="5" applyFont="1" applyFill="1" applyAlignment="1">
      <alignment horizontal="center" vertical="center"/>
    </xf>
    <xf numFmtId="0" fontId="56" fillId="0" borderId="0" xfId="2" applyNumberFormat="1" applyFont="1" applyFill="1" applyBorder="1" applyAlignment="1">
      <alignment horizontal="right" vertical="center" wrapText="1"/>
    </xf>
    <xf numFmtId="0" fontId="56" fillId="0" borderId="0" xfId="2" applyNumberFormat="1" applyFont="1" applyFill="1" applyBorder="1" applyAlignment="1">
      <alignment horizontal="center" vertical="center"/>
    </xf>
    <xf numFmtId="0" fontId="53" fillId="0" borderId="0" xfId="2" applyFont="1" applyFill="1" applyBorder="1" applyAlignment="1">
      <alignment horizontal="left" vertical="center"/>
    </xf>
    <xf numFmtId="168" fontId="53" fillId="0" borderId="0" xfId="2" applyNumberFormat="1" applyFont="1" applyFill="1" applyBorder="1" applyAlignment="1">
      <alignment horizontal="center" vertical="center"/>
    </xf>
    <xf numFmtId="0" fontId="56" fillId="0" borderId="0" xfId="0" applyFont="1" applyFill="1" applyBorder="1" applyAlignment="1">
      <alignment vertical="center"/>
    </xf>
    <xf numFmtId="9" fontId="53" fillId="0" borderId="0" xfId="0" applyNumberFormat="1" applyFont="1" applyFill="1" applyBorder="1" applyAlignment="1">
      <alignment horizontal="center" vertical="center"/>
    </xf>
    <xf numFmtId="168" fontId="53" fillId="0" borderId="0" xfId="0" applyNumberFormat="1" applyFont="1" applyFill="1" applyBorder="1" applyAlignment="1">
      <alignment horizontal="center" vertical="center"/>
    </xf>
    <xf numFmtId="3" fontId="53" fillId="0" borderId="0" xfId="0" applyNumberFormat="1" applyFont="1" applyFill="1" applyAlignment="1">
      <alignment vertical="center"/>
    </xf>
    <xf numFmtId="164" fontId="0" fillId="0" borderId="0" xfId="0" applyNumberFormat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78" fontId="53" fillId="0" borderId="0" xfId="2" applyNumberFormat="1" applyFont="1" applyFill="1" applyBorder="1" applyAlignment="1" applyProtection="1">
      <alignment horizontal="center" vertical="center"/>
      <protection locked="0"/>
    </xf>
    <xf numFmtId="178" fontId="53" fillId="0" borderId="42" xfId="2" applyNumberFormat="1" applyFont="1" applyFill="1" applyBorder="1" applyAlignment="1" applyProtection="1">
      <alignment horizontal="center" vertical="center"/>
      <protection locked="0"/>
    </xf>
    <xf numFmtId="0" fontId="53" fillId="0" borderId="41" xfId="2" applyFont="1" applyFill="1" applyBorder="1" applyAlignment="1" applyProtection="1">
      <alignment horizontal="center" vertical="center"/>
      <protection locked="0"/>
    </xf>
    <xf numFmtId="0" fontId="53" fillId="0" borderId="40" xfId="2" applyFont="1" applyFill="1" applyBorder="1" applyAlignment="1" applyProtection="1">
      <alignment horizontal="center" vertical="center"/>
      <protection locked="0"/>
    </xf>
    <xf numFmtId="3" fontId="56" fillId="0" borderId="0" xfId="2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Alignment="1">
      <alignment vertical="center"/>
    </xf>
  </cellXfs>
  <cellStyles count="20">
    <cellStyle name="1 Dec Place" xfId="6" xr:uid="{00000000-0005-0000-0000-000000000000}"/>
    <cellStyle name="Comma" xfId="17" builtinId="3"/>
    <cellStyle name="Comma 2" xfId="4" xr:uid="{00000000-0005-0000-0000-000002000000}"/>
    <cellStyle name="Comma0" xfId="7" xr:uid="{00000000-0005-0000-0000-000003000000}"/>
    <cellStyle name="Currency" xfId="18" builtinId="4"/>
    <cellStyle name="Currency0" xfId="8" xr:uid="{00000000-0005-0000-0000-000005000000}"/>
    <cellStyle name="Date" xfId="9" xr:uid="{00000000-0005-0000-0000-000006000000}"/>
    <cellStyle name="Fixed" xfId="10" xr:uid="{00000000-0005-0000-0000-000007000000}"/>
    <cellStyle name="Hyperlink" xfId="19" builtinId="8"/>
    <cellStyle name="Normal" xfId="0" builtinId="0"/>
    <cellStyle name="Normal 2" xfId="2" xr:uid="{00000000-0005-0000-0000-00000A000000}"/>
    <cellStyle name="Normal 2 2" xfId="11" xr:uid="{00000000-0005-0000-0000-00000B000000}"/>
    <cellStyle name="Normal 2 3" xfId="12" xr:uid="{00000000-0005-0000-0000-00000C000000}"/>
    <cellStyle name="Normal 3" xfId="13" xr:uid="{00000000-0005-0000-0000-00000D000000}"/>
    <cellStyle name="Normal 4" xfId="14" xr:uid="{00000000-0005-0000-0000-00000E000000}"/>
    <cellStyle name="Normal_90005b53" xfId="3" xr:uid="{00000000-0005-0000-0000-00000F000000}"/>
    <cellStyle name="Percent" xfId="1" builtinId="5"/>
    <cellStyle name="Percent 2" xfId="5" xr:uid="{00000000-0005-0000-0000-000011000000}"/>
    <cellStyle name="Rounded" xfId="15" xr:uid="{00000000-0005-0000-0000-000012000000}"/>
    <cellStyle name="Unprotected" xfId="16" xr:uid="{00000000-0005-0000-0000-000013000000}"/>
  </cellStyles>
  <dxfs count="3"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'SRT Control'!$H$6</c:f>
              <c:strCache>
                <c:ptCount val="1"/>
                <c:pt idx="0">
                  <c:v>Sludge age Dan</c:v>
                </c:pt>
              </c:strCache>
            </c:strRef>
          </c:tx>
          <c:marker>
            <c:symbol val="none"/>
          </c:marker>
          <c:xVal>
            <c:numRef>
              <c:f>'SRT Control'!$E$7:$E$24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xVal>
          <c:yVal>
            <c:numRef>
              <c:f>'SRT Control'!$H$7:$H$24</c:f>
              <c:numCache>
                <c:formatCode>0.0</c:formatCode>
                <c:ptCount val="18"/>
                <c:pt idx="0">
                  <c:v>7.6367532368147133</c:v>
                </c:pt>
                <c:pt idx="1">
                  <c:v>7.8200353144982673</c:v>
                </c:pt>
                <c:pt idx="2">
                  <c:v>8.0077161620462256</c:v>
                </c:pt>
                <c:pt idx="3">
                  <c:v>8.1999013499353364</c:v>
                </c:pt>
                <c:pt idx="4">
                  <c:v>8.396698982333783</c:v>
                </c:pt>
                <c:pt idx="5">
                  <c:v>8.5982197579097956</c:v>
                </c:pt>
                <c:pt idx="6">
                  <c:v>8.8045770320996262</c:v>
                </c:pt>
                <c:pt idx="7">
                  <c:v>9.0158868808700205</c:v>
                </c:pt>
                <c:pt idx="8">
                  <c:v>9.2322681660108987</c:v>
                </c:pt>
                <c:pt idx="9">
                  <c:v>9.4538426019951594</c:v>
                </c:pt>
                <c:pt idx="10">
                  <c:v>9.6807348244430447</c:v>
                </c:pt>
                <c:pt idx="11">
                  <c:v>9.9130724602296798</c:v>
                </c:pt>
                <c:pt idx="12">
                  <c:v>10.15098619927519</c:v>
                </c:pt>
                <c:pt idx="13">
                  <c:v>10.394609868057795</c:v>
                </c:pt>
                <c:pt idx="14">
                  <c:v>10.644080504891182</c:v>
                </c:pt>
                <c:pt idx="15">
                  <c:v>10.899538437008571</c:v>
                </c:pt>
                <c:pt idx="16">
                  <c:v>11.161127359496776</c:v>
                </c:pt>
                <c:pt idx="17">
                  <c:v>11.428994416124697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BB-4753-A327-B442A9F78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39328"/>
        <c:axId val="104340864"/>
      </c:scatterChart>
      <c:scatterChart>
        <c:scatterStyle val="smoothMarker"/>
        <c:varyColors val="0"/>
        <c:ser>
          <c:idx val="1"/>
          <c:order val="1"/>
          <c:tx>
            <c:strRef>
              <c:f>'SRT Control'!$G$6</c:f>
              <c:strCache>
                <c:ptCount val="1"/>
                <c:pt idx="0">
                  <c:v>Temp</c:v>
                </c:pt>
              </c:strCache>
            </c:strRef>
          </c:tx>
          <c:marker>
            <c:symbol val="none"/>
          </c:marker>
          <c:xVal>
            <c:numRef>
              <c:f>'SRT Control'!$E$7:$E$24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xVal>
          <c:yVal>
            <c:numRef>
              <c:f>'SRT Control'!$G$7:$G$24</c:f>
              <c:numCache>
                <c:formatCode>General</c:formatCode>
                <c:ptCount val="18"/>
                <c:pt idx="0">
                  <c:v>20</c:v>
                </c:pt>
                <c:pt idx="1">
                  <c:v>19</c:v>
                </c:pt>
                <c:pt idx="2">
                  <c:v>18</c:v>
                </c:pt>
                <c:pt idx="3">
                  <c:v>17</c:v>
                </c:pt>
                <c:pt idx="4">
                  <c:v>16</c:v>
                </c:pt>
                <c:pt idx="5">
                  <c:v>15</c:v>
                </c:pt>
                <c:pt idx="6">
                  <c:v>14</c:v>
                </c:pt>
                <c:pt idx="7">
                  <c:v>13</c:v>
                </c:pt>
                <c:pt idx="8">
                  <c:v>12</c:v>
                </c:pt>
                <c:pt idx="9">
                  <c:v>11</c:v>
                </c:pt>
                <c:pt idx="10">
                  <c:v>10</c:v>
                </c:pt>
                <c:pt idx="11">
                  <c:v>9</c:v>
                </c:pt>
                <c:pt idx="12">
                  <c:v>8</c:v>
                </c:pt>
                <c:pt idx="13">
                  <c:v>7</c:v>
                </c:pt>
                <c:pt idx="14">
                  <c:v>6</c:v>
                </c:pt>
                <c:pt idx="15">
                  <c:v>5</c:v>
                </c:pt>
                <c:pt idx="16">
                  <c:v>4</c:v>
                </c:pt>
                <c:pt idx="17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BB-4753-A327-B442A9F781B9}"/>
            </c:ext>
          </c:extLst>
        </c:ser>
        <c:ser>
          <c:idx val="3"/>
          <c:order val="2"/>
          <c:tx>
            <c:strRef>
              <c:f>'SRT Control'!$F$6</c:f>
              <c:strCache>
                <c:ptCount val="1"/>
                <c:pt idx="0">
                  <c:v>Sludge Age</c:v>
                </c:pt>
              </c:strCache>
            </c:strRef>
          </c:tx>
          <c:marker>
            <c:symbol val="none"/>
          </c:marker>
          <c:xVal>
            <c:numRef>
              <c:f>'SRT Control'!$E$7:$E$24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xVal>
          <c:yVal>
            <c:numRef>
              <c:f>'SRT Control'!$F$7:$F$24</c:f>
              <c:numCache>
                <c:formatCode>General</c:formatCode>
                <c:ptCount val="18"/>
                <c:pt idx="0">
                  <c:v>5.4</c:v>
                </c:pt>
                <c:pt idx="1">
                  <c:v>5.4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  <c:pt idx="5">
                  <c:v>5.4</c:v>
                </c:pt>
                <c:pt idx="6">
                  <c:v>5.4</c:v>
                </c:pt>
                <c:pt idx="7">
                  <c:v>5.4</c:v>
                </c:pt>
                <c:pt idx="8">
                  <c:v>5.4</c:v>
                </c:pt>
                <c:pt idx="9">
                  <c:v>5.4</c:v>
                </c:pt>
                <c:pt idx="10">
                  <c:v>5.4</c:v>
                </c:pt>
                <c:pt idx="11">
                  <c:v>5.4</c:v>
                </c:pt>
                <c:pt idx="12">
                  <c:v>5.4</c:v>
                </c:pt>
                <c:pt idx="13">
                  <c:v>5.4</c:v>
                </c:pt>
                <c:pt idx="14">
                  <c:v>5.4</c:v>
                </c:pt>
                <c:pt idx="15">
                  <c:v>5.4</c:v>
                </c:pt>
                <c:pt idx="16">
                  <c:v>5.4</c:v>
                </c:pt>
                <c:pt idx="17">
                  <c:v>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BB-4753-A327-B442A9F78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44192"/>
        <c:axId val="104342656"/>
      </c:scatterChart>
      <c:valAx>
        <c:axId val="104339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4340864"/>
        <c:crosses val="autoZero"/>
        <c:crossBetween val="midCat"/>
      </c:valAx>
      <c:valAx>
        <c:axId val="1043408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04339328"/>
        <c:crosses val="autoZero"/>
        <c:crossBetween val="midCat"/>
      </c:valAx>
      <c:valAx>
        <c:axId val="1043426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04344192"/>
        <c:crosses val="max"/>
        <c:crossBetween val="midCat"/>
      </c:valAx>
      <c:valAx>
        <c:axId val="10434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3426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7.345231846019247E-2"/>
                  <c:y val="-0.40053331875182269"/>
                </c:manualLayout>
              </c:layout>
              <c:numFmt formatCode="General" sourceLinked="0"/>
            </c:trendlineLbl>
          </c:trendline>
          <c:xVal>
            <c:numRef>
              <c:f>'Oxygen Data'!$A$2:$A$42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'Oxygen Data'!$B$2:$B$42</c:f>
              <c:numCache>
                <c:formatCode>General</c:formatCode>
                <c:ptCount val="41"/>
                <c:pt idx="0">
                  <c:v>14.602</c:v>
                </c:pt>
                <c:pt idx="1">
                  <c:v>14.198</c:v>
                </c:pt>
                <c:pt idx="2">
                  <c:v>13.813000000000001</c:v>
                </c:pt>
                <c:pt idx="3">
                  <c:v>13.445</c:v>
                </c:pt>
                <c:pt idx="4">
                  <c:v>13.093999999999999</c:v>
                </c:pt>
                <c:pt idx="5">
                  <c:v>12.757</c:v>
                </c:pt>
                <c:pt idx="6">
                  <c:v>12.436</c:v>
                </c:pt>
                <c:pt idx="7">
                  <c:v>12.127000000000001</c:v>
                </c:pt>
                <c:pt idx="8">
                  <c:v>11.832000000000001</c:v>
                </c:pt>
                <c:pt idx="9">
                  <c:v>11.548999999999999</c:v>
                </c:pt>
                <c:pt idx="10">
                  <c:v>11.276999999999999</c:v>
                </c:pt>
                <c:pt idx="11">
                  <c:v>11.016</c:v>
                </c:pt>
                <c:pt idx="12">
                  <c:v>10.766</c:v>
                </c:pt>
                <c:pt idx="13">
                  <c:v>10.525</c:v>
                </c:pt>
                <c:pt idx="14">
                  <c:v>10.294</c:v>
                </c:pt>
                <c:pt idx="15">
                  <c:v>10.071999999999999</c:v>
                </c:pt>
                <c:pt idx="16">
                  <c:v>9.8580000000000005</c:v>
                </c:pt>
                <c:pt idx="17">
                  <c:v>9.6509999999999998</c:v>
                </c:pt>
                <c:pt idx="18">
                  <c:v>9.4529999999999994</c:v>
                </c:pt>
                <c:pt idx="19">
                  <c:v>9.2609999999999992</c:v>
                </c:pt>
                <c:pt idx="20">
                  <c:v>9.077</c:v>
                </c:pt>
                <c:pt idx="21">
                  <c:v>8.9890000000000008</c:v>
                </c:pt>
                <c:pt idx="22">
                  <c:v>8.7260000000000009</c:v>
                </c:pt>
                <c:pt idx="23">
                  <c:v>8.56</c:v>
                </c:pt>
                <c:pt idx="24">
                  <c:v>8.4</c:v>
                </c:pt>
                <c:pt idx="25">
                  <c:v>8.2439999999999998</c:v>
                </c:pt>
                <c:pt idx="26">
                  <c:v>8.0939999999999994</c:v>
                </c:pt>
                <c:pt idx="27">
                  <c:v>7.9489999999999998</c:v>
                </c:pt>
                <c:pt idx="28">
                  <c:v>7.8079999999999998</c:v>
                </c:pt>
                <c:pt idx="29">
                  <c:v>7.6710000000000003</c:v>
                </c:pt>
                <c:pt idx="30">
                  <c:v>7.5389999999999997</c:v>
                </c:pt>
                <c:pt idx="31">
                  <c:v>7.4109999999999996</c:v>
                </c:pt>
                <c:pt idx="32">
                  <c:v>7.2869999999999999</c:v>
                </c:pt>
                <c:pt idx="33">
                  <c:v>7.1660000000000004</c:v>
                </c:pt>
                <c:pt idx="34">
                  <c:v>7.0490000000000004</c:v>
                </c:pt>
                <c:pt idx="35">
                  <c:v>6.9349999999999996</c:v>
                </c:pt>
                <c:pt idx="36">
                  <c:v>6.8239999999999998</c:v>
                </c:pt>
                <c:pt idx="37">
                  <c:v>6.7160000000000002</c:v>
                </c:pt>
                <c:pt idx="38">
                  <c:v>6.6120000000000001</c:v>
                </c:pt>
                <c:pt idx="39">
                  <c:v>6.5090000000000003</c:v>
                </c:pt>
                <c:pt idx="40">
                  <c:v>6.41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63-4A7A-A9F7-EB7F88EF5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199104"/>
        <c:axId val="105200640"/>
      </c:scatterChart>
      <c:valAx>
        <c:axId val="105199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5200640"/>
        <c:crosses val="autoZero"/>
        <c:crossBetween val="midCat"/>
      </c:valAx>
      <c:valAx>
        <c:axId val="105200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199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447675</xdr:colOff>
      <xdr:row>11</xdr:row>
      <xdr:rowOff>38100</xdr:rowOff>
    </xdr:from>
    <xdr:to>
      <xdr:col>6</xdr:col>
      <xdr:colOff>457200</xdr:colOff>
      <xdr:row>13</xdr:row>
      <xdr:rowOff>76200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>
          <a:stCxn id="2" idx="0"/>
        </xdr:cNvCxnSpPr>
      </xdr:nvCxnSpPr>
      <xdr:spPr>
        <a:xfrm flipH="1">
          <a:off x="4343400" y="2143125"/>
          <a:ext cx="9525" cy="4191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304800</xdr:colOff>
      <xdr:row>4</xdr:row>
      <xdr:rowOff>9525</xdr:rowOff>
    </xdr:from>
    <xdr:to>
      <xdr:col>14</xdr:col>
      <xdr:colOff>304800</xdr:colOff>
      <xdr:row>14</xdr:row>
      <xdr:rowOff>85727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5051425" y="755650"/>
          <a:ext cx="6619875" cy="1901827"/>
          <a:chOff x="3438525" y="781050"/>
          <a:chExt cx="6067425" cy="1981202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GrpSpPr/>
        </xdr:nvGrpSpPr>
        <xdr:grpSpPr>
          <a:xfrm>
            <a:off x="3438525" y="1343025"/>
            <a:ext cx="6067425" cy="1419227"/>
            <a:chOff x="2400300" y="600075"/>
            <a:chExt cx="6067425" cy="1419227"/>
          </a:xfrm>
        </xdr:grpSpPr>
        <xdr:sp macro="" textlink="">
          <xdr:nvSpPr>
            <xdr:cNvPr id="2" name="Isosceles Triangle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>
            <a:xfrm rot="10800000">
              <a:off x="2819400" y="600075"/>
              <a:ext cx="819150" cy="790575"/>
            </a:xfrm>
            <a:prstGeom prst="triangl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" name="Isosceles Triangl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 rot="10800000">
              <a:off x="6629400" y="600075"/>
              <a:ext cx="819150" cy="790575"/>
            </a:xfrm>
            <a:prstGeom prst="triangl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" name="Rounded Rectangl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4267201" y="657225"/>
              <a:ext cx="1733550" cy="676275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6" name="Elbow Connector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>
              <a:stCxn id="2" idx="1"/>
              <a:endCxn id="4" idx="1"/>
            </xdr:cNvCxnSpPr>
          </xdr:nvCxnSpPr>
          <xdr:spPr>
            <a:xfrm>
              <a:off x="3433762" y="995362"/>
              <a:ext cx="833439" cy="1"/>
            </a:xfrm>
            <a:prstGeom prst="bentConnector3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Elbow Connector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CxnSpPr>
              <a:stCxn id="4" idx="3"/>
              <a:endCxn id="3" idx="5"/>
            </xdr:cNvCxnSpPr>
          </xdr:nvCxnSpPr>
          <xdr:spPr>
            <a:xfrm flipV="1">
              <a:off x="6000751" y="995362"/>
              <a:ext cx="833436" cy="1"/>
            </a:xfrm>
            <a:prstGeom prst="bentConnector3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" name="Elbow Connector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CxnSpPr>
              <a:stCxn id="3" idx="0"/>
            </xdr:cNvCxnSpPr>
          </xdr:nvCxnSpPr>
          <xdr:spPr>
            <a:xfrm rot="5400000">
              <a:off x="5286374" y="266701"/>
              <a:ext cx="628653" cy="2876550"/>
            </a:xfrm>
            <a:prstGeom prst="bentConnector2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" name="Elbow Connector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CxnSpPr>
              <a:endCxn id="4" idx="2"/>
            </xdr:cNvCxnSpPr>
          </xdr:nvCxnSpPr>
          <xdr:spPr>
            <a:xfrm rot="16200000" flipV="1">
              <a:off x="4791077" y="1676399"/>
              <a:ext cx="685800" cy="2"/>
            </a:xfrm>
            <a:prstGeom prst="bentConnector3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" name="Straight Arrow Connector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CxnSpPr>
              <a:endCxn id="2" idx="5"/>
            </xdr:cNvCxnSpPr>
          </xdr:nvCxnSpPr>
          <xdr:spPr>
            <a:xfrm>
              <a:off x="2400300" y="990600"/>
              <a:ext cx="623887" cy="4762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" name="Straight Arrow Connector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CxnSpPr>
              <a:stCxn id="3" idx="1"/>
            </xdr:cNvCxnSpPr>
          </xdr:nvCxnSpPr>
          <xdr:spPr>
            <a:xfrm>
              <a:off x="7243762" y="995362"/>
              <a:ext cx="1223963" cy="14288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2" name="Rounded Rectangl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5429250" y="781050"/>
            <a:ext cx="561975" cy="25717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3" name="Rounded Rectangle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6372225" y="790575"/>
            <a:ext cx="561975" cy="25717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45" name="Elbow Connector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CxnSpPr>
            <a:stCxn id="42" idx="2"/>
            <a:endCxn id="4" idx="0"/>
          </xdr:cNvCxnSpPr>
        </xdr:nvCxnSpPr>
        <xdr:spPr>
          <a:xfrm rot="16200000" flipH="1">
            <a:off x="5760244" y="988218"/>
            <a:ext cx="361950" cy="461963"/>
          </a:xfrm>
          <a:prstGeom prst="bentConnector3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Elbow Connector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>
            <a:stCxn id="43" idx="2"/>
            <a:endCxn id="4" idx="0"/>
          </xdr:cNvCxnSpPr>
        </xdr:nvCxnSpPr>
        <xdr:spPr>
          <a:xfrm rot="5400000">
            <a:off x="6236495" y="983456"/>
            <a:ext cx="352425" cy="481012"/>
          </a:xfrm>
          <a:prstGeom prst="bentConnector3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447675</xdr:colOff>
      <xdr:row>11</xdr:row>
      <xdr:rowOff>38100</xdr:rowOff>
    </xdr:from>
    <xdr:to>
      <xdr:col>6</xdr:col>
      <xdr:colOff>457200</xdr:colOff>
      <xdr:row>13</xdr:row>
      <xdr:rowOff>76200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>
          <a:stCxn id="29" idx="0"/>
        </xdr:cNvCxnSpPr>
      </xdr:nvCxnSpPr>
      <xdr:spPr>
        <a:xfrm flipH="1">
          <a:off x="4762500" y="2143125"/>
          <a:ext cx="9525" cy="4191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304800</xdr:colOff>
      <xdr:row>4</xdr:row>
      <xdr:rowOff>9525</xdr:rowOff>
    </xdr:from>
    <xdr:to>
      <xdr:col>14</xdr:col>
      <xdr:colOff>304800</xdr:colOff>
      <xdr:row>14</xdr:row>
      <xdr:rowOff>85727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5051425" y="755650"/>
          <a:ext cx="6619875" cy="1901827"/>
          <a:chOff x="3438525" y="781050"/>
          <a:chExt cx="6067425" cy="1981202"/>
        </a:xfrm>
      </xdr:grpSpPr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GrpSpPr/>
        </xdr:nvGrpSpPr>
        <xdr:grpSpPr>
          <a:xfrm>
            <a:off x="3438525" y="1343025"/>
            <a:ext cx="6067425" cy="1419227"/>
            <a:chOff x="2400300" y="600075"/>
            <a:chExt cx="6067425" cy="1419227"/>
          </a:xfrm>
        </xdr:grpSpPr>
        <xdr:sp macro="" textlink="">
          <xdr:nvSpPr>
            <xdr:cNvPr id="29" name="Isosceles Triangle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/>
          </xdr:nvSpPr>
          <xdr:spPr>
            <a:xfrm rot="10800000">
              <a:off x="2819400" y="600075"/>
              <a:ext cx="819150" cy="790575"/>
            </a:xfrm>
            <a:prstGeom prst="triangl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0" name="Isosceles Triangle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/>
          </xdr:nvSpPr>
          <xdr:spPr>
            <a:xfrm rot="10800000">
              <a:off x="6629400" y="600075"/>
              <a:ext cx="819150" cy="790575"/>
            </a:xfrm>
            <a:prstGeom prst="triangl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1" name="Rounded 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4267201" y="657225"/>
              <a:ext cx="1733550" cy="676275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32" name="Elbow Connector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CxnSpPr>
              <a:stCxn id="29" idx="1"/>
              <a:endCxn id="31" idx="1"/>
            </xdr:cNvCxnSpPr>
          </xdr:nvCxnSpPr>
          <xdr:spPr>
            <a:xfrm>
              <a:off x="3433762" y="995362"/>
              <a:ext cx="833439" cy="1"/>
            </a:xfrm>
            <a:prstGeom prst="bentConnector3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" name="Elbow Connector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CxnSpPr>
              <a:stCxn id="31" idx="3"/>
              <a:endCxn id="30" idx="5"/>
            </xdr:cNvCxnSpPr>
          </xdr:nvCxnSpPr>
          <xdr:spPr>
            <a:xfrm flipV="1">
              <a:off x="6000751" y="995362"/>
              <a:ext cx="833436" cy="1"/>
            </a:xfrm>
            <a:prstGeom prst="bentConnector3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" name="Elbow Connector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CxnSpPr>
              <a:stCxn id="30" idx="0"/>
            </xdr:cNvCxnSpPr>
          </xdr:nvCxnSpPr>
          <xdr:spPr>
            <a:xfrm rot="5400000">
              <a:off x="5286374" y="266701"/>
              <a:ext cx="628653" cy="2876550"/>
            </a:xfrm>
            <a:prstGeom prst="bentConnector2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" name="Elbow Connector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CxnSpPr>
              <a:endCxn id="31" idx="2"/>
            </xdr:cNvCxnSpPr>
          </xdr:nvCxnSpPr>
          <xdr:spPr>
            <a:xfrm rot="16200000" flipV="1">
              <a:off x="4791077" y="1676399"/>
              <a:ext cx="685800" cy="2"/>
            </a:xfrm>
            <a:prstGeom prst="bentConnector3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" name="Straight Arrow Connector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CxnSpPr>
              <a:endCxn id="29" idx="5"/>
            </xdr:cNvCxnSpPr>
          </xdr:nvCxnSpPr>
          <xdr:spPr>
            <a:xfrm>
              <a:off x="2400300" y="990600"/>
              <a:ext cx="623887" cy="4762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" name="Straight Arrow Connector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CxnSpPr>
              <a:stCxn id="30" idx="1"/>
            </xdr:cNvCxnSpPr>
          </xdr:nvCxnSpPr>
          <xdr:spPr>
            <a:xfrm>
              <a:off x="7243762" y="995362"/>
              <a:ext cx="1223963" cy="14288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" name="Rounded Rectangl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5429250" y="781050"/>
            <a:ext cx="561975" cy="25717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" name="Rounded Rectangl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6372225" y="790575"/>
            <a:ext cx="561975" cy="25717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5" name="Elbow Connector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>
            <a:stCxn id="22" idx="2"/>
            <a:endCxn id="31" idx="0"/>
          </xdr:cNvCxnSpPr>
        </xdr:nvCxnSpPr>
        <xdr:spPr>
          <a:xfrm rot="16200000" flipH="1">
            <a:off x="5760244" y="988218"/>
            <a:ext cx="361950" cy="461963"/>
          </a:xfrm>
          <a:prstGeom prst="bentConnector3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Elbow Connector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CxnSpPr>
            <a:stCxn id="24" idx="2"/>
            <a:endCxn id="31" idx="0"/>
          </xdr:cNvCxnSpPr>
        </xdr:nvCxnSpPr>
        <xdr:spPr>
          <a:xfrm rot="5400000">
            <a:off x="6236495" y="983456"/>
            <a:ext cx="352425" cy="481012"/>
          </a:xfrm>
          <a:prstGeom prst="bentConnector3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409575</xdr:colOff>
      <xdr:row>3</xdr:row>
      <xdr:rowOff>185737</xdr:rowOff>
    </xdr:from>
    <xdr:to>
      <xdr:col>18</xdr:col>
      <xdr:colOff>104775</xdr:colOff>
      <xdr:row>18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142875</xdr:colOff>
      <xdr:row>0</xdr:row>
      <xdr:rowOff>242887</xdr:rowOff>
    </xdr:from>
    <xdr:to>
      <xdr:col>18</xdr:col>
      <xdr:colOff>447675</xdr:colOff>
      <xdr:row>14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4428\proj\40.2027.01%20Strathaven%20STW%20-%20SR1\C.%20Data%20Files\10.%20Documents%20In\1_Design\Process%20Unit%20Calculations\Aeration%20Tanks\1739-SE-160-CL-EN-2014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ndy/19%20-%20Scottish%20Water/6%20-%20George%20Rintoul's%20Team/Andy/19%20-%20Scottish%20Water/5%20-%20David%20Wilkie's%20Team/AAA%20GROWTH%20SCHEMES/Lorraine/SEPA%20Extracts/SW%20Spreadsheet%20-%2009010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Andy/19%20-%20Scottish%20Water/6%20-%20George%20Rintoul's%20Team/Lorraine/SEPA%20Extracts/SW%20Spreadsheet%20-%2009010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Andy/19%20-%20Scottish%20Water/6%20-%20George%20Rintoul's%20Team/xlfiles/90000/90005/90005a7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P &amp; FSTs"/>
      <sheetName val="Massflux"/>
      <sheetName val="Blowers"/>
      <sheetName val="Current Graph"/>
      <sheetName val="ASP Model"/>
      <sheetName val="FST Model"/>
      <sheetName val="PFD"/>
      <sheetName val="Module1"/>
    </sheetNames>
    <sheetDataSet>
      <sheetData sheetId="0"/>
      <sheetData sheetId="1">
        <row r="14">
          <cell r="J14">
            <v>0</v>
          </cell>
          <cell r="K14">
            <v>0</v>
          </cell>
          <cell r="L14">
            <v>0</v>
          </cell>
          <cell r="O14">
            <v>5.9517909921155185</v>
          </cell>
        </row>
        <row r="15">
          <cell r="J15">
            <v>0.1</v>
          </cell>
          <cell r="K15">
            <v>0.06</v>
          </cell>
          <cell r="L15">
            <v>0.50943209547643442</v>
          </cell>
          <cell r="O15">
            <v>5.9517909921155185</v>
          </cell>
        </row>
        <row r="16">
          <cell r="J16">
            <v>0.2</v>
          </cell>
          <cell r="K16">
            <v>0.12</v>
          </cell>
          <cell r="L16">
            <v>0.98247331530937865</v>
          </cell>
          <cell r="O16">
            <v>5.9517909921155185</v>
          </cell>
        </row>
        <row r="17">
          <cell r="J17">
            <v>0.3</v>
          </cell>
          <cell r="K17">
            <v>0.18</v>
          </cell>
          <cell r="L17">
            <v>1.4213336081931331</v>
          </cell>
          <cell r="O17">
            <v>5.9517909921155185</v>
          </cell>
        </row>
        <row r="18">
          <cell r="J18">
            <v>0.4</v>
          </cell>
          <cell r="K18">
            <v>0.24</v>
          </cell>
          <cell r="L18">
            <v>1.8281036286150474</v>
          </cell>
          <cell r="O18">
            <v>5.9517909921155185</v>
          </cell>
        </row>
        <row r="19">
          <cell r="J19">
            <v>0.5</v>
          </cell>
          <cell r="K19">
            <v>0.3</v>
          </cell>
          <cell r="L19">
            <v>2.2047607739475139</v>
          </cell>
          <cell r="O19">
            <v>5.9517909921155185</v>
          </cell>
        </row>
        <row r="20">
          <cell r="J20">
            <v>0.6</v>
          </cell>
          <cell r="K20">
            <v>0.36</v>
          </cell>
          <cell r="L20">
            <v>2.5531749282430707</v>
          </cell>
          <cell r="O20">
            <v>5.9517909921155185</v>
          </cell>
        </row>
        <row r="21">
          <cell r="J21">
            <v>0.7</v>
          </cell>
          <cell r="K21">
            <v>0.42</v>
          </cell>
          <cell r="L21">
            <v>2.8751139265858874</v>
          </cell>
          <cell r="O21">
            <v>5.9517909921155185</v>
          </cell>
        </row>
        <row r="22">
          <cell r="J22">
            <v>0.8</v>
          </cell>
          <cell r="K22">
            <v>0.48</v>
          </cell>
          <cell r="L22">
            <v>3.1722487532119419</v>
          </cell>
          <cell r="O22">
            <v>5.9517909921155185</v>
          </cell>
        </row>
        <row r="23">
          <cell r="J23">
            <v>0.9</v>
          </cell>
          <cell r="K23">
            <v>0.54</v>
          </cell>
          <cell r="L23">
            <v>3.44615848599841</v>
          </cell>
          <cell r="O23">
            <v>5.9517909921155185</v>
          </cell>
        </row>
        <row r="24">
          <cell r="J24">
            <v>1</v>
          </cell>
          <cell r="K24">
            <v>0.6</v>
          </cell>
          <cell r="L24">
            <v>3.6983349993388837</v>
          </cell>
          <cell r="O24">
            <v>5.9517909921155185</v>
          </cell>
        </row>
        <row r="25">
          <cell r="J25">
            <v>1.1000000000000001</v>
          </cell>
          <cell r="K25">
            <v>0.66</v>
          </cell>
          <cell r="L25">
            <v>3.9301874368637573</v>
          </cell>
          <cell r="O25">
            <v>5.9517909921155185</v>
          </cell>
          <cell r="S25">
            <v>3.9301874368637573</v>
          </cell>
          <cell r="T25">
            <v>5.9517909921155185</v>
          </cell>
        </row>
        <row r="26">
          <cell r="J26">
            <v>1.2</v>
          </cell>
          <cell r="K26">
            <v>0.72</v>
          </cell>
          <cell r="L26">
            <v>4.1430464649332723</v>
          </cell>
          <cell r="O26">
            <v>5.9517909921155185</v>
          </cell>
        </row>
        <row r="27">
          <cell r="J27">
            <v>1.3</v>
          </cell>
          <cell r="K27">
            <v>0.78</v>
          </cell>
          <cell r="L27">
            <v>4.3381683173231478</v>
          </cell>
          <cell r="O27">
            <v>5.9517909921155185</v>
          </cell>
        </row>
        <row r="28">
          <cell r="J28">
            <v>1.4</v>
          </cell>
          <cell r="K28">
            <v>0.84</v>
          </cell>
          <cell r="L28">
            <v>4.5167386410383248</v>
          </cell>
          <cell r="O28">
            <v>5.9517909921155185</v>
          </cell>
        </row>
        <row r="29">
          <cell r="J29">
            <v>1.5</v>
          </cell>
          <cell r="K29">
            <v>0.89999999999999991</v>
          </cell>
          <cell r="L29">
            <v>4.6798761527281432</v>
          </cell>
          <cell r="O29">
            <v>5.9517909921155185</v>
          </cell>
        </row>
        <row r="30">
          <cell r="J30">
            <v>1.6</v>
          </cell>
          <cell r="K30">
            <v>0.96</v>
          </cell>
          <cell r="L30">
            <v>4.8286361147351418</v>
          </cell>
          <cell r="O30">
            <v>5.9517909921155185</v>
          </cell>
        </row>
        <row r="31">
          <cell r="J31">
            <v>1.7</v>
          </cell>
          <cell r="K31">
            <v>1.02</v>
          </cell>
          <cell r="L31">
            <v>4.9640136393887939</v>
          </cell>
          <cell r="O31">
            <v>5.9517909921155185</v>
          </cell>
        </row>
        <row r="32">
          <cell r="J32">
            <v>1.8</v>
          </cell>
          <cell r="K32">
            <v>1.08</v>
          </cell>
          <cell r="L32">
            <v>5.0869468297538187</v>
          </cell>
          <cell r="O32">
            <v>5.9517909921155185</v>
          </cell>
        </row>
        <row r="33">
          <cell r="J33">
            <v>1.9</v>
          </cell>
          <cell r="K33">
            <v>1.1399999999999999</v>
          </cell>
          <cell r="L33">
            <v>5.1983197646595514</v>
          </cell>
          <cell r="O33">
            <v>5.9517909921155185</v>
          </cell>
        </row>
        <row r="34">
          <cell r="J34">
            <v>2</v>
          </cell>
          <cell r="K34">
            <v>1.2</v>
          </cell>
          <cell r="L34">
            <v>5.2989653354711237</v>
          </cell>
          <cell r="O34">
            <v>5.9517909921155185</v>
          </cell>
          <cell r="R34">
            <v>1.2</v>
          </cell>
        </row>
        <row r="35">
          <cell r="J35">
            <v>2.1</v>
          </cell>
          <cell r="K35">
            <v>1.26</v>
          </cell>
          <cell r="L35">
            <v>5.389667941714384</v>
          </cell>
          <cell r="O35">
            <v>5.9517909921155185</v>
          </cell>
        </row>
        <row r="36">
          <cell r="J36">
            <v>2.2000000000000002</v>
          </cell>
          <cell r="K36">
            <v>1.32</v>
          </cell>
          <cell r="L36">
            <v>5.4711660523336425</v>
          </cell>
          <cell r="O36">
            <v>5.9517909921155185</v>
          </cell>
        </row>
        <row r="37">
          <cell r="J37">
            <v>2.2999999999999998</v>
          </cell>
          <cell r="K37">
            <v>1.38</v>
          </cell>
          <cell r="L37">
            <v>5.5441546390437173</v>
          </cell>
          <cell r="O37">
            <v>5.9517909921155185</v>
          </cell>
        </row>
        <row r="38">
          <cell r="J38">
            <v>2.4</v>
          </cell>
          <cell r="K38">
            <v>1.44</v>
          </cell>
          <cell r="L38">
            <v>5.6092874879348571</v>
          </cell>
          <cell r="O38">
            <v>5.9517909921155185</v>
          </cell>
        </row>
        <row r="39">
          <cell r="J39">
            <v>2.5</v>
          </cell>
          <cell r="K39">
            <v>1.5</v>
          </cell>
          <cell r="L39">
            <v>5.6671793952000575</v>
          </cell>
          <cell r="O39">
            <v>5.9517909921155185</v>
          </cell>
        </row>
        <row r="40">
          <cell r="J40">
            <v>2.6</v>
          </cell>
          <cell r="K40">
            <v>1.56</v>
          </cell>
          <cell r="L40">
            <v>5.7184082525786142</v>
          </cell>
          <cell r="O40">
            <v>5.9517909921155185</v>
          </cell>
        </row>
        <row r="41">
          <cell r="J41">
            <v>2.7</v>
          </cell>
          <cell r="K41">
            <v>1.62</v>
          </cell>
          <cell r="L41">
            <v>5.7635170278467127</v>
          </cell>
          <cell r="O41">
            <v>5.9517909921155185</v>
          </cell>
        </row>
        <row r="42">
          <cell r="J42">
            <v>2.8</v>
          </cell>
          <cell r="K42">
            <v>1.68</v>
          </cell>
          <cell r="L42">
            <v>5.803015645435007</v>
          </cell>
          <cell r="O42">
            <v>5.9517909921155185</v>
          </cell>
        </row>
        <row r="43">
          <cell r="J43">
            <v>2.9</v>
          </cell>
          <cell r="K43">
            <v>1.74</v>
          </cell>
          <cell r="L43">
            <v>5.837382772013834</v>
          </cell>
          <cell r="O43">
            <v>5.9517909921155185</v>
          </cell>
        </row>
        <row r="44">
          <cell r="J44">
            <v>3</v>
          </cell>
          <cell r="K44">
            <v>1.7999999999999998</v>
          </cell>
          <cell r="L44">
            <v>5.8670675116584325</v>
          </cell>
          <cell r="O44">
            <v>5.9517909921155185</v>
          </cell>
        </row>
        <row r="45">
          <cell r="J45">
            <v>3.1</v>
          </cell>
          <cell r="K45">
            <v>1.8599999999999999</v>
          </cell>
          <cell r="L45">
            <v>5.8924910149888703</v>
          </cell>
          <cell r="O45">
            <v>5.9517909921155185</v>
          </cell>
        </row>
        <row r="46">
          <cell r="J46">
            <v>3.2</v>
          </cell>
          <cell r="K46">
            <v>1.92</v>
          </cell>
          <cell r="L46">
            <v>5.9140480064717069</v>
          </cell>
          <cell r="O46">
            <v>5.9517909921155185</v>
          </cell>
        </row>
        <row r="47">
          <cell r="J47">
            <v>3.3</v>
          </cell>
          <cell r="K47">
            <v>1.9799999999999998</v>
          </cell>
          <cell r="L47">
            <v>5.9321082338724382</v>
          </cell>
          <cell r="O47">
            <v>5.9517909921155185</v>
          </cell>
        </row>
        <row r="48">
          <cell r="J48">
            <v>3.4</v>
          </cell>
          <cell r="K48">
            <v>2.04</v>
          </cell>
          <cell r="L48">
            <v>5.9470178436588474</v>
          </cell>
          <cell r="O48">
            <v>5.9517909921155185</v>
          </cell>
        </row>
        <row r="49">
          <cell r="J49">
            <v>3.5</v>
          </cell>
          <cell r="K49">
            <v>2.1</v>
          </cell>
          <cell r="L49">
            <v>5.9591006859753719</v>
          </cell>
          <cell r="O49">
            <v>5.9517909921155185</v>
          </cell>
        </row>
        <row r="50">
          <cell r="J50">
            <v>3.6</v>
          </cell>
          <cell r="K50">
            <v>2.16</v>
          </cell>
          <cell r="L50">
            <v>5.9686595526367627</v>
          </cell>
          <cell r="O50">
            <v>5.9517909921155185</v>
          </cell>
        </row>
        <row r="51">
          <cell r="J51">
            <v>3.7</v>
          </cell>
          <cell r="K51">
            <v>2.2200000000000002</v>
          </cell>
          <cell r="L51">
            <v>5.9759773514255832</v>
          </cell>
          <cell r="O51">
            <v>5.9517909921155185</v>
          </cell>
        </row>
        <row r="52">
          <cell r="J52">
            <v>3.8</v>
          </cell>
          <cell r="K52">
            <v>2.2799999999999998</v>
          </cell>
          <cell r="L52">
            <v>5.9813182198219454</v>
          </cell>
          <cell r="O52">
            <v>5.9517909921155185</v>
          </cell>
        </row>
        <row r="53">
          <cell r="J53">
            <v>3.9</v>
          </cell>
          <cell r="K53">
            <v>2.34</v>
          </cell>
          <cell r="L53">
            <v>5.9849285811449127</v>
          </cell>
          <cell r="O53">
            <v>5.9517909921155185</v>
          </cell>
        </row>
        <row r="54">
          <cell r="J54">
            <v>4</v>
          </cell>
          <cell r="K54">
            <v>2.4</v>
          </cell>
          <cell r="L54">
            <v>5.9870381459430941</v>
          </cell>
          <cell r="O54">
            <v>5.9517909921155185</v>
          </cell>
        </row>
        <row r="55">
          <cell r="J55">
            <v>4.0999999999999996</v>
          </cell>
          <cell r="K55">
            <v>2.4599999999999995</v>
          </cell>
          <cell r="L55">
            <v>5.9878608613365447</v>
          </cell>
          <cell r="O55">
            <v>5.9517909921155185</v>
          </cell>
        </row>
        <row r="56">
          <cell r="J56">
            <v>4.2</v>
          </cell>
          <cell r="K56">
            <v>2.52</v>
          </cell>
          <cell r="L56">
            <v>5.9875958108830645</v>
          </cell>
          <cell r="O56">
            <v>5.9517909921155185</v>
          </cell>
        </row>
        <row r="57">
          <cell r="J57">
            <v>4.3</v>
          </cell>
          <cell r="K57">
            <v>2.5799999999999996</v>
          </cell>
          <cell r="L57">
            <v>5.9864280674189061</v>
          </cell>
          <cell r="O57">
            <v>5.9517909921155185</v>
          </cell>
        </row>
        <row r="58">
          <cell r="J58">
            <v>4.4000000000000004</v>
          </cell>
          <cell r="K58">
            <v>2.64</v>
          </cell>
          <cell r="L58">
            <v>5.9845295012066995</v>
          </cell>
          <cell r="O58">
            <v>5.9517909921155185</v>
          </cell>
        </row>
        <row r="59">
          <cell r="J59">
            <v>4.5</v>
          </cell>
          <cell r="K59">
            <v>2.6999999999999997</v>
          </cell>
          <cell r="L59">
            <v>5.9820595456114916</v>
          </cell>
          <cell r="O59">
            <v>5.9517909921155185</v>
          </cell>
        </row>
        <row r="60">
          <cell r="J60">
            <v>4.5999999999999996</v>
          </cell>
          <cell r="K60">
            <v>2.76</v>
          </cell>
          <cell r="L60">
            <v>5.9791659224193072</v>
          </cell>
          <cell r="O60">
            <v>5.9517909921155185</v>
          </cell>
        </row>
        <row r="61">
          <cell r="J61">
            <v>4.7</v>
          </cell>
          <cell r="K61">
            <v>2.82</v>
          </cell>
          <cell r="L61">
            <v>5.9759853288109976</v>
          </cell>
          <cell r="O61">
            <v>5.9517909921155185</v>
          </cell>
        </row>
        <row r="62">
          <cell r="J62">
            <v>4.8</v>
          </cell>
          <cell r="K62">
            <v>2.88</v>
          </cell>
          <cell r="L62">
            <v>5.9726440879073426</v>
          </cell>
          <cell r="O62">
            <v>5.9517909921155185</v>
          </cell>
        </row>
        <row r="63">
          <cell r="J63">
            <v>4.9000000000000004</v>
          </cell>
          <cell r="K63">
            <v>2.94</v>
          </cell>
          <cell r="L63">
            <v>5.9692587647090525</v>
          </cell>
          <cell r="O63">
            <v>5.9517909921155185</v>
          </cell>
        </row>
        <row r="64">
          <cell r="J64">
            <v>5</v>
          </cell>
          <cell r="K64">
            <v>3</v>
          </cell>
          <cell r="L64">
            <v>5.9659367491674313</v>
          </cell>
          <cell r="O64">
            <v>5.9517909921155185</v>
          </cell>
        </row>
        <row r="65">
          <cell r="J65">
            <v>5.0999999999999996</v>
          </cell>
          <cell r="K65">
            <v>3.0599999999999996</v>
          </cell>
          <cell r="L65">
            <v>5.9627768080375265</v>
          </cell>
          <cell r="O65">
            <v>5.9517909921155185</v>
          </cell>
        </row>
        <row r="66">
          <cell r="J66">
            <v>5.2</v>
          </cell>
          <cell r="K66">
            <v>3.12</v>
          </cell>
          <cell r="L66">
            <v>5.9598696070858415</v>
          </cell>
          <cell r="O66">
            <v>5.9517909921155185</v>
          </cell>
        </row>
        <row r="67">
          <cell r="J67">
            <v>5.3</v>
          </cell>
          <cell r="K67">
            <v>3.1799999999999997</v>
          </cell>
          <cell r="L67">
            <v>5.9572982051484571</v>
          </cell>
          <cell r="O67">
            <v>5.9517909921155185</v>
          </cell>
        </row>
        <row r="68">
          <cell r="J68">
            <v>5.4</v>
          </cell>
          <cell r="K68">
            <v>3.24</v>
          </cell>
          <cell r="L68">
            <v>5.9551385214629518</v>
          </cell>
          <cell r="O68">
            <v>5.9517909921155185</v>
          </cell>
        </row>
        <row r="69">
          <cell r="J69">
            <v>5.5</v>
          </cell>
          <cell r="K69">
            <v>3.3</v>
          </cell>
          <cell r="L69">
            <v>5.9534597776283444</v>
          </cell>
          <cell r="O69">
            <v>5.9517909921155185</v>
          </cell>
        </row>
        <row r="70">
          <cell r="J70">
            <v>5.6</v>
          </cell>
          <cell r="K70">
            <v>3.36</v>
          </cell>
          <cell r="L70">
            <v>5.9523249154814835</v>
          </cell>
          <cell r="O70">
            <v>5.9517909921155185</v>
          </cell>
        </row>
        <row r="71">
          <cell r="J71">
            <v>5.7</v>
          </cell>
          <cell r="K71">
            <v>3.42</v>
          </cell>
          <cell r="L71">
            <v>5.9517909921155185</v>
          </cell>
          <cell r="O71">
            <v>5.9517909921155185</v>
          </cell>
        </row>
        <row r="72">
          <cell r="J72">
            <v>5.8</v>
          </cell>
          <cell r="K72">
            <v>3.48</v>
          </cell>
          <cell r="L72">
            <v>5.9519095532063844</v>
          </cell>
          <cell r="O72">
            <v>5.9517909921155185</v>
          </cell>
        </row>
        <row r="73">
          <cell r="J73">
            <v>5.9</v>
          </cell>
          <cell r="K73">
            <v>3.54</v>
          </cell>
          <cell r="L73">
            <v>5.9527269857562199</v>
          </cell>
          <cell r="O73">
            <v>5.9517909921155185</v>
          </cell>
        </row>
        <row r="74">
          <cell r="J74">
            <v>6</v>
          </cell>
          <cell r="K74">
            <v>3.5999999999999996</v>
          </cell>
          <cell r="L74">
            <v>5.9542848513084561</v>
          </cell>
          <cell r="O74">
            <v>5.9517909921155185</v>
          </cell>
        </row>
        <row r="75">
          <cell r="J75">
            <v>6.1</v>
          </cell>
          <cell r="K75">
            <v>3.6599999999999997</v>
          </cell>
          <cell r="L75">
            <v>5.9566202006376345</v>
          </cell>
          <cell r="O75">
            <v>5.9517909921155185</v>
          </cell>
        </row>
        <row r="76">
          <cell r="J76">
            <v>6.2</v>
          </cell>
          <cell r="K76">
            <v>3.7199999999999998</v>
          </cell>
          <cell r="L76">
            <v>5.9597658708677876</v>
          </cell>
          <cell r="O76">
            <v>5.9517909921155185</v>
          </cell>
        </row>
        <row r="77">
          <cell r="J77">
            <v>6.3</v>
          </cell>
          <cell r="K77">
            <v>3.78</v>
          </cell>
          <cell r="L77">
            <v>5.9637507659263624</v>
          </cell>
          <cell r="O77">
            <v>5.9517909921155185</v>
          </cell>
        </row>
        <row r="78">
          <cell r="J78">
            <v>6.4</v>
          </cell>
          <cell r="K78">
            <v>3.84</v>
          </cell>
          <cell r="L78">
            <v>5.9686001211960278</v>
          </cell>
          <cell r="O78">
            <v>5.9517909921155185</v>
          </cell>
        </row>
        <row r="79">
          <cell r="J79">
            <v>6.5</v>
          </cell>
          <cell r="K79">
            <v>3.9</v>
          </cell>
          <cell r="L79">
            <v>5.9743357531841781</v>
          </cell>
          <cell r="O79">
            <v>5.9517909921155185</v>
          </cell>
        </row>
        <row r="80">
          <cell r="J80">
            <v>6.6</v>
          </cell>
          <cell r="K80">
            <v>3.9599999999999995</v>
          </cell>
          <cell r="L80">
            <v>5.980976294989504</v>
          </cell>
          <cell r="O80">
            <v>5.9517909921155185</v>
          </cell>
        </row>
        <row r="81">
          <cell r="J81">
            <v>6.7</v>
          </cell>
          <cell r="K81">
            <v>4.0199999999999996</v>
          </cell>
          <cell r="L81">
            <v>5.9885374183064011</v>
          </cell>
          <cell r="O81">
            <v>5.9517909921155185</v>
          </cell>
        </row>
        <row r="82">
          <cell r="J82">
            <v>6.8</v>
          </cell>
          <cell r="K82">
            <v>4.08</v>
          </cell>
          <cell r="L82">
            <v>5.9970320426713402</v>
          </cell>
          <cell r="O82">
            <v>5.9517909921155185</v>
          </cell>
        </row>
        <row r="83">
          <cell r="J83">
            <v>6.9</v>
          </cell>
          <cell r="K83">
            <v>4.1399999999999997</v>
          </cell>
          <cell r="L83">
            <v>6.0064705326203214</v>
          </cell>
          <cell r="O83">
            <v>5.9517909921155185</v>
          </cell>
        </row>
        <row r="84">
          <cell r="J84">
            <v>7</v>
          </cell>
          <cell r="K84">
            <v>4.2</v>
          </cell>
          <cell r="L84">
            <v>6.0168608833933099</v>
          </cell>
          <cell r="O84">
            <v>5.9517909921155185</v>
          </cell>
        </row>
        <row r="85">
          <cell r="J85">
            <v>7.1</v>
          </cell>
          <cell r="K85">
            <v>4.26</v>
          </cell>
          <cell r="L85">
            <v>6.0282088957898559</v>
          </cell>
          <cell r="O85">
            <v>5.9517909921155185</v>
          </cell>
        </row>
        <row r="86">
          <cell r="J86">
            <v>7.2</v>
          </cell>
          <cell r="K86">
            <v>4.32</v>
          </cell>
          <cell r="L86">
            <v>6.0405183407499434</v>
          </cell>
          <cell r="O86">
            <v>5.9517909921155185</v>
          </cell>
        </row>
        <row r="87">
          <cell r="J87">
            <v>7.3</v>
          </cell>
          <cell r="K87">
            <v>4.38</v>
          </cell>
          <cell r="L87">
            <v>6.0537911142054446</v>
          </cell>
          <cell r="O87">
            <v>5.9517909921155185</v>
          </cell>
        </row>
        <row r="88">
          <cell r="J88">
            <v>7.4</v>
          </cell>
          <cell r="K88">
            <v>4.4400000000000004</v>
          </cell>
          <cell r="L88">
            <v>6.068027382720194</v>
          </cell>
          <cell r="O88">
            <v>5.9517909921155185</v>
          </cell>
        </row>
        <row r="89">
          <cell r="J89">
            <v>7.5</v>
          </cell>
          <cell r="K89">
            <v>4.5</v>
          </cell>
          <cell r="L89">
            <v>6.0832257204107405</v>
          </cell>
          <cell r="O89">
            <v>5.9517909921155185</v>
          </cell>
        </row>
        <row r="90">
          <cell r="J90">
            <v>7.6</v>
          </cell>
          <cell r="K90">
            <v>4.5599999999999996</v>
          </cell>
          <cell r="L90">
            <v>6.099383237615065</v>
          </cell>
          <cell r="O90">
            <v>5.9517909921155185</v>
          </cell>
        </row>
        <row r="91">
          <cell r="J91">
            <v>7.7</v>
          </cell>
          <cell r="K91">
            <v>4.62</v>
          </cell>
          <cell r="L91">
            <v>6.1164957017530224</v>
          </cell>
          <cell r="O91">
            <v>5.9517909921155185</v>
          </cell>
        </row>
        <row r="92">
          <cell r="J92">
            <v>7.8</v>
          </cell>
          <cell r="K92">
            <v>4.68</v>
          </cell>
          <cell r="L92">
            <v>6.1345576507998398</v>
          </cell>
          <cell r="O92">
            <v>5.9517909921155185</v>
          </cell>
        </row>
        <row r="93">
          <cell r="J93">
            <v>7.9</v>
          </cell>
          <cell r="K93">
            <v>4.74</v>
          </cell>
          <cell r="L93">
            <v>6.1535624997727218</v>
          </cell>
          <cell r="O93">
            <v>5.9517909921155185</v>
          </cell>
        </row>
        <row r="94">
          <cell r="J94">
            <v>8</v>
          </cell>
          <cell r="K94">
            <v>4.8</v>
          </cell>
          <cell r="L94">
            <v>6.1735026406102822</v>
          </cell>
          <cell r="O94">
            <v>5.9517909921155185</v>
          </cell>
        </row>
        <row r="95">
          <cell r="J95">
            <v>8.1</v>
          </cell>
          <cell r="K95">
            <v>4.8599999999999994</v>
          </cell>
          <cell r="L95">
            <v>6.1943695358052624</v>
          </cell>
          <cell r="O95">
            <v>5.9517909921155185</v>
          </cell>
        </row>
        <row r="96">
          <cell r="J96">
            <v>8.1999999999999993</v>
          </cell>
          <cell r="K96">
            <v>4.919999999999999</v>
          </cell>
          <cell r="L96">
            <v>6.21615380613264</v>
          </cell>
          <cell r="O96">
            <v>5.9517909921155185</v>
          </cell>
        </row>
        <row r="97">
          <cell r="J97">
            <v>8.3000000000000007</v>
          </cell>
          <cell r="K97">
            <v>4.9800000000000004</v>
          </cell>
          <cell r="L97">
            <v>6.2388453127977357</v>
          </cell>
          <cell r="O97">
            <v>5.9517909921155185</v>
          </cell>
        </row>
        <row r="98">
          <cell r="J98">
            <v>8.4</v>
          </cell>
          <cell r="K98">
            <v>5.04</v>
          </cell>
          <cell r="L98">
            <v>6.2624332343123541</v>
          </cell>
          <cell r="O98">
            <v>5.9517909921155185</v>
          </cell>
        </row>
        <row r="99">
          <cell r="J99">
            <v>8.5</v>
          </cell>
          <cell r="K99">
            <v>5.0999999999999996</v>
          </cell>
          <cell r="L99">
            <v>6.2869061383912017</v>
          </cell>
          <cell r="O99">
            <v>5.9517909921155185</v>
          </cell>
        </row>
        <row r="100">
          <cell r="J100">
            <v>8.6</v>
          </cell>
          <cell r="K100">
            <v>5.1599999999999993</v>
          </cell>
          <cell r="L100">
            <v>6.3122520491457568</v>
          </cell>
          <cell r="O100">
            <v>5.9517909921155185</v>
          </cell>
        </row>
        <row r="101">
          <cell r="J101">
            <v>8.6999999999999993</v>
          </cell>
          <cell r="K101">
            <v>5.22</v>
          </cell>
          <cell r="L101">
            <v>6.3384585098385502</v>
          </cell>
          <cell r="O101">
            <v>5.9517909921155185</v>
          </cell>
        </row>
        <row r="102">
          <cell r="J102">
            <v>8.8000000000000007</v>
          </cell>
          <cell r="K102">
            <v>5.28</v>
          </cell>
          <cell r="L102">
            <v>6.3655126414471761</v>
          </cell>
          <cell r="O102">
            <v>5.9517909921155185</v>
          </cell>
        </row>
        <row r="103">
          <cell r="J103">
            <v>8.9</v>
          </cell>
          <cell r="K103">
            <v>5.34</v>
          </cell>
          <cell r="L103">
            <v>6.3934011972744749</v>
          </cell>
          <cell r="O103">
            <v>5.9517909921155185</v>
          </cell>
        </row>
        <row r="104">
          <cell r="J104">
            <v>9</v>
          </cell>
          <cell r="K104">
            <v>5.3999999999999995</v>
          </cell>
          <cell r="L104">
            <v>6.4221106138290427</v>
          </cell>
          <cell r="O104">
            <v>5.9517909921155185</v>
          </cell>
        </row>
        <row r="105">
          <cell r="J105">
            <v>9.1</v>
          </cell>
          <cell r="K105">
            <v>5.46</v>
          </cell>
          <cell r="L105">
            <v>6.4516270581885422</v>
          </cell>
          <cell r="O105">
            <v>5.9517909921155185</v>
          </cell>
        </row>
        <row r="106">
          <cell r="J106">
            <v>9.1999999999999993</v>
          </cell>
          <cell r="K106">
            <v>5.52</v>
          </cell>
          <cell r="L106">
            <v>6.4819364720472175</v>
          </cell>
          <cell r="O106">
            <v>5.9517909921155185</v>
          </cell>
        </row>
        <row r="107">
          <cell r="J107">
            <v>9.3000000000000007</v>
          </cell>
          <cell r="K107">
            <v>5.58</v>
          </cell>
          <cell r="L107">
            <v>6.5130246126384703</v>
          </cell>
          <cell r="O107">
            <v>5.9517909921155185</v>
          </cell>
        </row>
        <row r="108">
          <cell r="J108">
            <v>9.4</v>
          </cell>
          <cell r="K108">
            <v>5.64</v>
          </cell>
          <cell r="L108">
            <v>6.5448770907133076</v>
          </cell>
          <cell r="O108">
            <v>5.9517909921155185</v>
          </cell>
        </row>
        <row r="109">
          <cell r="J109">
            <v>9.5</v>
          </cell>
          <cell r="K109">
            <v>5.7</v>
          </cell>
          <cell r="L109">
            <v>6.5774794057460007</v>
          </cell>
          <cell r="O109">
            <v>5.9517909921155185</v>
          </cell>
        </row>
        <row r="110">
          <cell r="J110">
            <v>9.6</v>
          </cell>
          <cell r="K110">
            <v>5.76</v>
          </cell>
          <cell r="L110">
            <v>6.6108169785291935</v>
          </cell>
          <cell r="O110">
            <v>5.9517909921155185</v>
          </cell>
        </row>
        <row r="111">
          <cell r="J111">
            <v>9.6999999999999993</v>
          </cell>
          <cell r="K111">
            <v>5.8199999999999994</v>
          </cell>
          <cell r="L111">
            <v>6.6448751813121705</v>
          </cell>
          <cell r="O111">
            <v>5.9517909921155185</v>
          </cell>
        </row>
        <row r="112">
          <cell r="J112">
            <v>9.8000000000000007</v>
          </cell>
          <cell r="K112">
            <v>5.88</v>
          </cell>
          <cell r="L112">
            <v>6.6796393656277457</v>
          </cell>
          <cell r="O112">
            <v>5.9517909921155185</v>
          </cell>
        </row>
        <row r="113">
          <cell r="J113">
            <v>9.9</v>
          </cell>
          <cell r="K113">
            <v>5.94</v>
          </cell>
          <cell r="L113">
            <v>6.7150948879455719</v>
          </cell>
          <cell r="O113">
            <v>5.9517909921155185</v>
          </cell>
        </row>
        <row r="114">
          <cell r="J114">
            <v>10</v>
          </cell>
          <cell r="K114">
            <v>6</v>
          </cell>
          <cell r="L114">
            <v>6.7512271332822174</v>
          </cell>
          <cell r="O114">
            <v>5.9517909921155185</v>
          </cell>
        </row>
        <row r="115">
          <cell r="J115">
            <v>10.1</v>
          </cell>
          <cell r="K115">
            <v>6.06</v>
          </cell>
          <cell r="L115">
            <v>6.7880215368914492</v>
          </cell>
          <cell r="O115">
            <v>5.9517909921155185</v>
          </cell>
        </row>
        <row r="116">
          <cell r="J116">
            <v>10.199999999999999</v>
          </cell>
          <cell r="K116">
            <v>6.1199999999999992</v>
          </cell>
          <cell r="L116">
            <v>6.8254636041514223</v>
          </cell>
          <cell r="O116">
            <v>5.9517909921155185</v>
          </cell>
        </row>
        <row r="117">
          <cell r="J117">
            <v>10.3</v>
          </cell>
          <cell r="K117">
            <v>6.1800000000000006</v>
          </cell>
          <cell r="L117">
            <v>6.8635389287592554</v>
          </cell>
          <cell r="O117">
            <v>5.9517909921155185</v>
          </cell>
        </row>
        <row r="118">
          <cell r="J118">
            <v>10.4</v>
          </cell>
          <cell r="K118">
            <v>6.24</v>
          </cell>
          <cell r="L118">
            <v>6.9022332093374406</v>
          </cell>
          <cell r="O118">
            <v>5.9517909921155185</v>
          </cell>
        </row>
        <row r="119">
          <cell r="J119">
            <v>10.5</v>
          </cell>
          <cell r="K119">
            <v>6.3</v>
          </cell>
          <cell r="L119">
            <v>6.9415322645508555</v>
          </cell>
          <cell r="O119">
            <v>5.9517909921155185</v>
          </cell>
        </row>
        <row r="120">
          <cell r="J120">
            <v>10.6</v>
          </cell>
          <cell r="K120">
            <v>6.3599999999999994</v>
          </cell>
          <cell r="L120">
            <v>6.9814220468277597</v>
          </cell>
          <cell r="O120">
            <v>5.9517909921155185</v>
          </cell>
        </row>
        <row r="121">
          <cell r="J121">
            <v>10.7</v>
          </cell>
          <cell r="K121">
            <v>6.419999999999999</v>
          </cell>
          <cell r="L121">
            <v>7.0218886547730328</v>
          </cell>
          <cell r="O121">
            <v>5.9517909921155185</v>
          </cell>
        </row>
        <row r="122">
          <cell r="J122">
            <v>10.8</v>
          </cell>
          <cell r="K122">
            <v>6.48</v>
          </cell>
          <cell r="L122">
            <v>7.0629183443570547</v>
          </cell>
          <cell r="O122">
            <v>5.9517909921155185</v>
          </cell>
        </row>
        <row r="123">
          <cell r="J123">
            <v>10.9</v>
          </cell>
          <cell r="K123">
            <v>6.54</v>
          </cell>
          <cell r="L123">
            <v>7.1044975389590208</v>
          </cell>
          <cell r="O123">
            <v>5.9517909921155185</v>
          </cell>
        </row>
        <row r="124">
          <cell r="J124">
            <v>11</v>
          </cell>
          <cell r="K124">
            <v>6.6</v>
          </cell>
          <cell r="L124">
            <v>7.1466128383391112</v>
          </cell>
          <cell r="O124">
            <v>5.9517909921155185</v>
          </cell>
        </row>
        <row r="125">
          <cell r="J125">
            <v>11.1</v>
          </cell>
          <cell r="K125">
            <v>6.6599999999999993</v>
          </cell>
          <cell r="L125">
            <v>7.1892510266097798</v>
          </cell>
          <cell r="O125">
            <v>5.9517909921155185</v>
          </cell>
        </row>
        <row r="126">
          <cell r="J126">
            <v>11.2</v>
          </cell>
          <cell r="K126">
            <v>6.72</v>
          </cell>
          <cell r="L126">
            <v>7.2323990792725024</v>
          </cell>
          <cell r="O126">
            <v>5.9517909921155185</v>
          </cell>
        </row>
        <row r="127">
          <cell r="J127">
            <v>11.3</v>
          </cell>
          <cell r="K127">
            <v>6.78</v>
          </cell>
          <cell r="L127">
            <v>7.2760441693825841</v>
          </cell>
          <cell r="O127">
            <v>5.9517909921155185</v>
          </cell>
        </row>
        <row r="128">
          <cell r="J128">
            <v>11.4</v>
          </cell>
          <cell r="K128">
            <v>6.84</v>
          </cell>
          <cell r="L128">
            <v>7.3201736729011042</v>
          </cell>
          <cell r="O128">
            <v>5.9517909921155185</v>
          </cell>
        </row>
        <row r="129">
          <cell r="J129">
            <v>11.5</v>
          </cell>
          <cell r="K129">
            <v>6.8999999999999995</v>
          </cell>
          <cell r="L129">
            <v>7.3647751732897015</v>
          </cell>
          <cell r="O129">
            <v>5.9517909921155185</v>
          </cell>
        </row>
        <row r="130">
          <cell r="J130">
            <v>11.6</v>
          </cell>
          <cell r="K130">
            <v>6.96</v>
          </cell>
          <cell r="L130">
            <v>7.4098364654007414</v>
          </cell>
          <cell r="O130">
            <v>5.9517909921155185</v>
          </cell>
        </row>
        <row r="131">
          <cell r="J131">
            <v>11.7</v>
          </cell>
          <cell r="K131">
            <v>7.02</v>
          </cell>
          <cell r="L131">
            <v>7.4553455587123816</v>
          </cell>
          <cell r="O131">
            <v>5.9517909921155185</v>
          </cell>
        </row>
        <row r="132">
          <cell r="J132">
            <v>11.8</v>
          </cell>
          <cell r="K132">
            <v>7.08</v>
          </cell>
          <cell r="L132">
            <v>7.5012906799552193</v>
          </cell>
          <cell r="O132">
            <v>5.9517909921155185</v>
          </cell>
        </row>
        <row r="133">
          <cell r="J133">
            <v>11.9</v>
          </cell>
          <cell r="K133">
            <v>7.14</v>
          </cell>
          <cell r="L133">
            <v>7.5476602751744535</v>
          </cell>
          <cell r="O133">
            <v>5.9517909921155185</v>
          </cell>
        </row>
        <row r="134">
          <cell r="J134">
            <v>12</v>
          </cell>
          <cell r="K134">
            <v>7.1999999999999993</v>
          </cell>
          <cell r="L134">
            <v>7.5944430112689991</v>
          </cell>
          <cell r="O134">
            <v>5.9517909921155185</v>
          </cell>
        </row>
        <row r="135">
          <cell r="J135">
            <v>12.1</v>
          </cell>
          <cell r="K135">
            <v>7.26</v>
          </cell>
          <cell r="L135">
            <v>7.6416277770464918</v>
          </cell>
          <cell r="O135">
            <v>5.9517909921155185</v>
          </cell>
        </row>
        <row r="136">
          <cell r="J136">
            <v>12.2</v>
          </cell>
          <cell r="K136">
            <v>7.3199999999999994</v>
          </cell>
          <cell r="L136">
            <v>7.6892036838308817</v>
          </cell>
          <cell r="O136">
            <v>5.9517909921155185</v>
          </cell>
        </row>
        <row r="137">
          <cell r="J137">
            <v>12.3</v>
          </cell>
          <cell r="K137">
            <v>7.38</v>
          </cell>
          <cell r="L137">
            <v>7.7371600656571067</v>
          </cell>
          <cell r="O137">
            <v>5.9517909921155185</v>
          </cell>
        </row>
        <row r="138">
          <cell r="J138">
            <v>12.4</v>
          </cell>
          <cell r="K138">
            <v>7.4399999999999995</v>
          </cell>
          <cell r="L138">
            <v>7.7854864790852769</v>
          </cell>
          <cell r="O138">
            <v>5.9517909921155185</v>
          </cell>
        </row>
        <row r="139">
          <cell r="J139">
            <v>12.5</v>
          </cell>
          <cell r="K139">
            <v>7.5</v>
          </cell>
          <cell r="L139">
            <v>7.834172702664878</v>
          </cell>
          <cell r="O139">
            <v>5.9517909921155185</v>
          </cell>
        </row>
        <row r="140">
          <cell r="J140">
            <v>12.6</v>
          </cell>
          <cell r="K140">
            <v>7.56</v>
          </cell>
          <cell r="L140">
            <v>7.8832087360776075</v>
          </cell>
          <cell r="O140">
            <v>5.9517909921155185</v>
          </cell>
        </row>
        <row r="141">
          <cell r="J141">
            <v>12.7</v>
          </cell>
          <cell r="K141">
            <v>7.6199999999999992</v>
          </cell>
          <cell r="L141">
            <v>7.9325847989857827</v>
          </cell>
          <cell r="O141">
            <v>5.9517909921155185</v>
          </cell>
        </row>
        <row r="142">
          <cell r="J142">
            <v>12.8</v>
          </cell>
          <cell r="K142">
            <v>7.68</v>
          </cell>
          <cell r="L142">
            <v>7.982291329611523</v>
          </cell>
          <cell r="O142">
            <v>5.9517909921155185</v>
          </cell>
        </row>
        <row r="143">
          <cell r="J143">
            <v>12.9</v>
          </cell>
          <cell r="K143">
            <v>7.74</v>
          </cell>
          <cell r="L143">
            <v>8.0323189830704251</v>
          </cell>
          <cell r="O143">
            <v>5.9517909921155185</v>
          </cell>
        </row>
        <row r="144">
          <cell r="J144">
            <v>13</v>
          </cell>
          <cell r="K144">
            <v>7.8</v>
          </cell>
          <cell r="L144">
            <v>8.0826586294819247</v>
          </cell>
          <cell r="O144">
            <v>5.9517909921155185</v>
          </cell>
        </row>
        <row r="145">
          <cell r="J145">
            <v>13.1</v>
          </cell>
          <cell r="K145">
            <v>7.8599999999999994</v>
          </cell>
          <cell r="L145">
            <v>8.1333013518771597</v>
          </cell>
          <cell r="O145">
            <v>5.9517909921155185</v>
          </cell>
        </row>
        <row r="146">
          <cell r="J146">
            <v>13.2</v>
          </cell>
          <cell r="K146">
            <v>7.919999999999999</v>
          </cell>
          <cell r="L146">
            <v>8.1842384439238351</v>
          </cell>
          <cell r="O146">
            <v>5.9517909921155185</v>
          </cell>
        </row>
        <row r="147">
          <cell r="J147">
            <v>13.3</v>
          </cell>
          <cell r="K147">
            <v>7.98</v>
          </cell>
          <cell r="L147">
            <v>8.2354614074863211</v>
          </cell>
          <cell r="O147">
            <v>5.9517909921155185</v>
          </cell>
        </row>
        <row r="148">
          <cell r="J148">
            <v>13.4</v>
          </cell>
          <cell r="K148">
            <v>8.0399999999999991</v>
          </cell>
          <cell r="L148">
            <v>8.2869619500380676</v>
          </cell>
          <cell r="O148">
            <v>5.9517909921155185</v>
          </cell>
        </row>
        <row r="149">
          <cell r="J149">
            <v>13.5</v>
          </cell>
          <cell r="K149">
            <v>8.1</v>
          </cell>
          <cell r="L149">
            <v>8.3387319819423027</v>
          </cell>
          <cell r="O149">
            <v>5.9517909921155185</v>
          </cell>
        </row>
        <row r="150">
          <cell r="J150">
            <v>13.6</v>
          </cell>
          <cell r="K150">
            <v>8.16</v>
          </cell>
          <cell r="L150">
            <v>8.390763613615885</v>
          </cell>
          <cell r="O150">
            <v>5.9517909921155185</v>
          </cell>
        </row>
        <row r="151">
          <cell r="J151">
            <v>13.7</v>
          </cell>
          <cell r="K151">
            <v>8.2199999999999989</v>
          </cell>
          <cell r="L151">
            <v>8.4430491525902642</v>
          </cell>
          <cell r="O151">
            <v>5.9517909921155185</v>
          </cell>
        </row>
        <row r="152">
          <cell r="J152">
            <v>13.8</v>
          </cell>
          <cell r="K152">
            <v>8.2799999999999994</v>
          </cell>
          <cell r="L152">
            <v>8.4955811004825215</v>
          </cell>
          <cell r="O152">
            <v>5.9517909921155185</v>
          </cell>
        </row>
        <row r="153">
          <cell r="J153">
            <v>13.9</v>
          </cell>
          <cell r="K153">
            <v>8.34</v>
          </cell>
          <cell r="L153">
            <v>8.5483521498885686</v>
          </cell>
          <cell r="O153">
            <v>5.9517909921155185</v>
          </cell>
        </row>
        <row r="154">
          <cell r="J154">
            <v>14</v>
          </cell>
          <cell r="K154">
            <v>8.4</v>
          </cell>
          <cell r="L154">
            <v>8.6013551812098044</v>
          </cell>
          <cell r="O154">
            <v>5.9517909921155185</v>
          </cell>
        </row>
        <row r="155">
          <cell r="J155">
            <v>14.1</v>
          </cell>
          <cell r="K155">
            <v>8.4599999999999991</v>
          </cell>
          <cell r="L155">
            <v>8.6545832594236725</v>
          </cell>
          <cell r="O155">
            <v>5.9517909921155185</v>
          </cell>
        </row>
        <row r="156">
          <cell r="J156">
            <v>14.2</v>
          </cell>
          <cell r="K156">
            <v>8.52</v>
          </cell>
          <cell r="L156">
            <v>8.7080296308079053</v>
          </cell>
          <cell r="O156">
            <v>5.9517909921155185</v>
          </cell>
        </row>
        <row r="157">
          <cell r="J157">
            <v>14.3</v>
          </cell>
          <cell r="K157">
            <v>8.58</v>
          </cell>
          <cell r="L157">
            <v>8.7616877196274565</v>
          </cell>
          <cell r="O157">
            <v>5.9517909921155185</v>
          </cell>
        </row>
        <row r="158">
          <cell r="J158">
            <v>14.4</v>
          </cell>
          <cell r="K158">
            <v>8.64</v>
          </cell>
          <cell r="L158">
            <v>8.8155511247925489</v>
          </cell>
          <cell r="O158">
            <v>5.9517909921155185</v>
          </cell>
        </row>
        <row r="159">
          <cell r="J159">
            <v>14.5</v>
          </cell>
          <cell r="K159">
            <v>8.6999999999999993</v>
          </cell>
          <cell r="L159">
            <v>8.8696136164955739</v>
          </cell>
          <cell r="O159">
            <v>5.9517909921155185</v>
          </cell>
        </row>
        <row r="160">
          <cell r="J160">
            <v>14.6</v>
          </cell>
          <cell r="K160">
            <v>8.76</v>
          </cell>
          <cell r="L160">
            <v>8.9238691328340636</v>
          </cell>
          <cell r="O160">
            <v>5.9517909921155185</v>
          </cell>
        </row>
        <row r="161">
          <cell r="J161">
            <v>14.7</v>
          </cell>
          <cell r="K161">
            <v>8.8199999999999985</v>
          </cell>
          <cell r="L161">
            <v>8.9783117764263416</v>
          </cell>
          <cell r="O161">
            <v>5.9517909921155185</v>
          </cell>
        </row>
        <row r="162">
          <cell r="J162">
            <v>14.8</v>
          </cell>
          <cell r="K162">
            <v>8.8800000000000008</v>
          </cell>
          <cell r="L162">
            <v>9.0329358110260287</v>
          </cell>
          <cell r="O162">
            <v>5.9517909921155185</v>
          </cell>
        </row>
        <row r="163">
          <cell r="J163">
            <v>14.9</v>
          </cell>
          <cell r="K163">
            <v>8.94</v>
          </cell>
          <cell r="L163">
            <v>9.0877356581409732</v>
          </cell>
          <cell r="O163">
            <v>5.9517909921155185</v>
          </cell>
        </row>
        <row r="164">
          <cell r="J164">
            <v>15</v>
          </cell>
          <cell r="K164">
            <v>9</v>
          </cell>
          <cell r="L164">
            <v>9.1427058936618852</v>
          </cell>
          <cell r="O164">
            <v>5.9517909921155185</v>
          </cell>
        </row>
      </sheetData>
      <sheetData sheetId="2"/>
      <sheetData sheetId="3" refreshError="1"/>
      <sheetData sheetId="4"/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CSO's"/>
      <sheetName val="Unsatis Collection System"/>
      <sheetName val="Continuous Discharges"/>
      <sheetName val="1st Time Sewerage"/>
      <sheetName val="uSWO's"/>
      <sheetName val="Inland Recr Waters"/>
      <sheetName val="Lists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A4" t="str">
            <v>Aberdeen North</v>
          </cell>
          <cell r="C4" t="str">
            <v>None</v>
          </cell>
        </row>
        <row r="5">
          <cell r="A5" t="str">
            <v>Aberdeen South</v>
          </cell>
          <cell r="C5" t="str">
            <v>Low</v>
          </cell>
        </row>
        <row r="6">
          <cell r="A6" t="str">
            <v>Angus</v>
          </cell>
          <cell r="C6" t="str">
            <v>Medium</v>
          </cell>
        </row>
        <row r="7">
          <cell r="A7" t="str">
            <v>Ayrshire</v>
          </cell>
          <cell r="C7" t="str">
            <v>High</v>
          </cell>
        </row>
        <row r="8">
          <cell r="A8" t="str">
            <v>Argyll</v>
          </cell>
        </row>
        <row r="9">
          <cell r="A9" t="str">
            <v>Borders</v>
          </cell>
        </row>
        <row r="10">
          <cell r="A10" t="str">
            <v>Dingwall North</v>
          </cell>
        </row>
        <row r="11">
          <cell r="A11" t="str">
            <v>Dingwall South</v>
          </cell>
        </row>
        <row r="12">
          <cell r="A12" t="str">
            <v>Dumfries</v>
          </cell>
        </row>
        <row r="13">
          <cell r="A13" t="str">
            <v>Dunbartonshire</v>
          </cell>
        </row>
        <row r="14">
          <cell r="A14" t="str">
            <v>Dundee</v>
          </cell>
        </row>
        <row r="15">
          <cell r="A15" t="str">
            <v>Edinburgh &amp; E. Lothian</v>
          </cell>
        </row>
        <row r="16">
          <cell r="A16" t="str">
            <v>Elgin</v>
          </cell>
        </row>
        <row r="17">
          <cell r="A17" t="str">
            <v>Falkirk</v>
          </cell>
        </row>
        <row r="18">
          <cell r="A18" t="str">
            <v>Fife</v>
          </cell>
        </row>
        <row r="19">
          <cell r="A19" t="str">
            <v>Fort William</v>
          </cell>
        </row>
        <row r="20">
          <cell r="A20" t="str">
            <v>Fraserburgh</v>
          </cell>
        </row>
        <row r="21">
          <cell r="A21" t="str">
            <v>Galloway</v>
          </cell>
        </row>
        <row r="22">
          <cell r="A22" t="str">
            <v>Glasgow</v>
          </cell>
        </row>
        <row r="23">
          <cell r="A23" t="str">
            <v>N. Lanarkshire</v>
          </cell>
        </row>
        <row r="24">
          <cell r="A24" t="str">
            <v>Orkney</v>
          </cell>
        </row>
        <row r="25">
          <cell r="A25" t="str">
            <v>Perth</v>
          </cell>
        </row>
        <row r="26">
          <cell r="A26" t="str">
            <v>Renfrew &amp; Inverclyde</v>
          </cell>
        </row>
        <row r="27">
          <cell r="A27" t="str">
            <v>Shetland</v>
          </cell>
        </row>
        <row r="28">
          <cell r="A28" t="str">
            <v>South Lanarkshire</v>
          </cell>
        </row>
        <row r="29">
          <cell r="A29" t="str">
            <v>Stirling</v>
          </cell>
        </row>
        <row r="30">
          <cell r="A30" t="str">
            <v>Thurso</v>
          </cell>
        </row>
        <row r="31">
          <cell r="A31" t="str">
            <v>Western Isles</v>
          </cell>
        </row>
        <row r="32">
          <cell r="A32" t="str">
            <v>W. Lothian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CSO's"/>
      <sheetName val="Unsatis Collection System"/>
      <sheetName val="Continuous Discharges"/>
      <sheetName val="1st Time Sewerage"/>
      <sheetName val="uSWO's"/>
      <sheetName val="Inland Recr Waters"/>
      <sheetName val="Lists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A4" t="str">
            <v>Aberdeen North</v>
          </cell>
          <cell r="C4" t="str">
            <v>None</v>
          </cell>
        </row>
        <row r="5">
          <cell r="A5" t="str">
            <v>Aberdeen South</v>
          </cell>
          <cell r="C5" t="str">
            <v>Low</v>
          </cell>
        </row>
        <row r="6">
          <cell r="A6" t="str">
            <v>Angus</v>
          </cell>
          <cell r="C6" t="str">
            <v>Medium</v>
          </cell>
        </row>
        <row r="7">
          <cell r="A7" t="str">
            <v>Ayrshire</v>
          </cell>
          <cell r="C7" t="str">
            <v>High</v>
          </cell>
        </row>
        <row r="8">
          <cell r="A8" t="str">
            <v>Argyll</v>
          </cell>
        </row>
        <row r="9">
          <cell r="A9" t="str">
            <v>Borders</v>
          </cell>
        </row>
        <row r="10">
          <cell r="A10" t="str">
            <v>Dingwall North</v>
          </cell>
        </row>
        <row r="11">
          <cell r="A11" t="str">
            <v>Dingwall South</v>
          </cell>
        </row>
        <row r="12">
          <cell r="A12" t="str">
            <v>Dumfries</v>
          </cell>
        </row>
        <row r="13">
          <cell r="A13" t="str">
            <v>Dunbartonshire</v>
          </cell>
        </row>
        <row r="14">
          <cell r="A14" t="str">
            <v>Dundee</v>
          </cell>
        </row>
        <row r="15">
          <cell r="A15" t="str">
            <v>Edinburgh &amp; E. Lothian</v>
          </cell>
        </row>
        <row r="16">
          <cell r="A16" t="str">
            <v>Elgin</v>
          </cell>
        </row>
        <row r="17">
          <cell r="A17" t="str">
            <v>Falkirk</v>
          </cell>
        </row>
        <row r="18">
          <cell r="A18" t="str">
            <v>Fife</v>
          </cell>
        </row>
        <row r="19">
          <cell r="A19" t="str">
            <v>Fort William</v>
          </cell>
        </row>
        <row r="20">
          <cell r="A20" t="str">
            <v>Fraserburgh</v>
          </cell>
        </row>
        <row r="21">
          <cell r="A21" t="str">
            <v>Galloway</v>
          </cell>
        </row>
        <row r="22">
          <cell r="A22" t="str">
            <v>Glasgow</v>
          </cell>
        </row>
        <row r="23">
          <cell r="A23" t="str">
            <v>N. Lanarkshire</v>
          </cell>
        </row>
        <row r="24">
          <cell r="A24" t="str">
            <v>Orkney</v>
          </cell>
        </row>
        <row r="25">
          <cell r="A25" t="str">
            <v>Perth</v>
          </cell>
        </row>
        <row r="26">
          <cell r="A26" t="str">
            <v>Renfrew &amp; Inverclyde</v>
          </cell>
        </row>
        <row r="27">
          <cell r="A27" t="str">
            <v>Shetland</v>
          </cell>
        </row>
        <row r="28">
          <cell r="A28" t="str">
            <v>South Lanarkshire</v>
          </cell>
        </row>
        <row r="29">
          <cell r="A29" t="str">
            <v>Stirling</v>
          </cell>
        </row>
        <row r="30">
          <cell r="A30" t="str">
            <v>Thurso</v>
          </cell>
        </row>
        <row r="31">
          <cell r="A31" t="str">
            <v>Western Isles</v>
          </cell>
        </row>
        <row r="32">
          <cell r="A32" t="str">
            <v>W. Lothian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2_requirement"/>
      <sheetName val="air_requirement"/>
      <sheetName val="Blower_Power"/>
      <sheetName val="Tables"/>
    </sheetNames>
    <sheetDataSet>
      <sheetData sheetId="0" refreshError="1"/>
      <sheetData sheetId="1" refreshError="1"/>
      <sheetData sheetId="2" refreshError="1"/>
      <sheetData sheetId="3" refreshError="1">
        <row r="11">
          <cell r="B11">
            <v>0</v>
          </cell>
          <cell r="C11">
            <v>14.52</v>
          </cell>
          <cell r="D11">
            <v>13.73</v>
          </cell>
          <cell r="E11">
            <v>12.89</v>
          </cell>
        </row>
        <row r="12">
          <cell r="B12">
            <v>1</v>
          </cell>
          <cell r="C12">
            <v>14.22</v>
          </cell>
          <cell r="D12">
            <v>13.36</v>
          </cell>
          <cell r="E12">
            <v>12.55</v>
          </cell>
        </row>
        <row r="13">
          <cell r="B13">
            <v>2</v>
          </cell>
          <cell r="C13">
            <v>13.83</v>
          </cell>
          <cell r="D13">
            <v>13</v>
          </cell>
          <cell r="E13">
            <v>12.22</v>
          </cell>
        </row>
        <row r="14">
          <cell r="B14">
            <v>3</v>
          </cell>
          <cell r="C14">
            <v>13.46</v>
          </cell>
          <cell r="D14">
            <v>12.66</v>
          </cell>
          <cell r="E14">
            <v>11.91</v>
          </cell>
        </row>
        <row r="15">
          <cell r="B15">
            <v>4</v>
          </cell>
          <cell r="C15">
            <v>13.11</v>
          </cell>
          <cell r="D15">
            <v>12.34</v>
          </cell>
          <cell r="E15">
            <v>11.61</v>
          </cell>
        </row>
        <row r="16">
          <cell r="B16">
            <v>5</v>
          </cell>
          <cell r="C16">
            <v>12.77</v>
          </cell>
          <cell r="D16">
            <v>12.02</v>
          </cell>
          <cell r="E16">
            <v>11.32</v>
          </cell>
        </row>
        <row r="17">
          <cell r="B17">
            <v>6</v>
          </cell>
          <cell r="C17">
            <v>12.45</v>
          </cell>
          <cell r="D17">
            <v>11.73</v>
          </cell>
          <cell r="E17">
            <v>11.05</v>
          </cell>
        </row>
        <row r="18">
          <cell r="B18">
            <v>7</v>
          </cell>
          <cell r="C18">
            <v>12.14</v>
          </cell>
          <cell r="D18">
            <v>11.44</v>
          </cell>
          <cell r="E18">
            <v>10.78</v>
          </cell>
        </row>
        <row r="19">
          <cell r="B19">
            <v>8</v>
          </cell>
          <cell r="C19">
            <v>11.54</v>
          </cell>
          <cell r="D19">
            <v>11.17</v>
          </cell>
          <cell r="E19">
            <v>10.53</v>
          </cell>
        </row>
        <row r="20">
          <cell r="B20">
            <v>9</v>
          </cell>
          <cell r="C20">
            <v>11.55</v>
          </cell>
          <cell r="D20">
            <v>10.91</v>
          </cell>
          <cell r="E20">
            <v>10.29</v>
          </cell>
        </row>
        <row r="21">
          <cell r="B21">
            <v>10</v>
          </cell>
          <cell r="C21">
            <v>11.29</v>
          </cell>
          <cell r="D21">
            <v>10.66</v>
          </cell>
          <cell r="E21">
            <v>10.06</v>
          </cell>
        </row>
        <row r="22">
          <cell r="B22">
            <v>11</v>
          </cell>
          <cell r="C22">
            <v>11.03</v>
          </cell>
          <cell r="D22">
            <v>10.42</v>
          </cell>
          <cell r="E22">
            <v>9.84</v>
          </cell>
        </row>
        <row r="23">
          <cell r="B23">
            <v>12</v>
          </cell>
          <cell r="C23">
            <v>10.78</v>
          </cell>
          <cell r="D23">
            <v>10.18</v>
          </cell>
          <cell r="E23">
            <v>9.6199999999999992</v>
          </cell>
        </row>
        <row r="24">
          <cell r="B24">
            <v>13</v>
          </cell>
          <cell r="C24">
            <v>10.54</v>
          </cell>
          <cell r="D24">
            <v>9.9600000000000009</v>
          </cell>
          <cell r="E24">
            <v>9.41</v>
          </cell>
        </row>
        <row r="25">
          <cell r="B25">
            <v>14</v>
          </cell>
          <cell r="C25">
            <v>10.31</v>
          </cell>
          <cell r="D25">
            <v>9.75</v>
          </cell>
          <cell r="E25">
            <v>9.2200000000000006</v>
          </cell>
        </row>
        <row r="26">
          <cell r="B26">
            <v>15</v>
          </cell>
          <cell r="C26">
            <v>10.08</v>
          </cell>
          <cell r="D26">
            <v>9.5399999999999991</v>
          </cell>
          <cell r="E26">
            <v>9.0299999999999994</v>
          </cell>
        </row>
        <row r="27">
          <cell r="B27">
            <v>16</v>
          </cell>
          <cell r="C27">
            <v>9.8699999999999992</v>
          </cell>
          <cell r="D27">
            <v>9.34</v>
          </cell>
          <cell r="E27">
            <v>8.84</v>
          </cell>
        </row>
        <row r="28">
          <cell r="B28">
            <v>17</v>
          </cell>
          <cell r="C28">
            <v>9.57</v>
          </cell>
          <cell r="D28">
            <v>9.15</v>
          </cell>
          <cell r="E28">
            <v>8.67</v>
          </cell>
        </row>
        <row r="29">
          <cell r="B29">
            <v>18</v>
          </cell>
          <cell r="C29">
            <v>9.4700000000000006</v>
          </cell>
          <cell r="D29">
            <v>8.9700000000000006</v>
          </cell>
          <cell r="E29">
            <v>8.5</v>
          </cell>
        </row>
        <row r="30">
          <cell r="B30">
            <v>19</v>
          </cell>
          <cell r="C30">
            <v>9.2799999999999994</v>
          </cell>
          <cell r="D30">
            <v>8.7899999999999991</v>
          </cell>
          <cell r="E30">
            <v>8.33</v>
          </cell>
        </row>
        <row r="31">
          <cell r="B31">
            <v>20</v>
          </cell>
          <cell r="C31">
            <v>9.09</v>
          </cell>
          <cell r="D31">
            <v>8.6199999999999992</v>
          </cell>
          <cell r="E31">
            <v>8.17</v>
          </cell>
        </row>
        <row r="32">
          <cell r="B32">
            <v>21</v>
          </cell>
          <cell r="C32">
            <v>8.91</v>
          </cell>
          <cell r="D32">
            <v>8.4600000000000009</v>
          </cell>
          <cell r="E32">
            <v>8.02</v>
          </cell>
        </row>
        <row r="33">
          <cell r="B33">
            <v>22</v>
          </cell>
          <cell r="C33">
            <v>8.24</v>
          </cell>
          <cell r="D33">
            <v>8.3000000000000007</v>
          </cell>
          <cell r="E33">
            <v>7.87</v>
          </cell>
        </row>
        <row r="34">
          <cell r="B34">
            <v>23</v>
          </cell>
          <cell r="C34">
            <v>8.58</v>
          </cell>
          <cell r="D34">
            <v>8.14</v>
          </cell>
          <cell r="E34">
            <v>7.73</v>
          </cell>
        </row>
        <row r="35">
          <cell r="B35">
            <v>24</v>
          </cell>
          <cell r="C35">
            <v>8.42</v>
          </cell>
          <cell r="D35">
            <v>7.99</v>
          </cell>
          <cell r="E35">
            <v>7.59</v>
          </cell>
        </row>
        <row r="36">
          <cell r="B36">
            <v>25</v>
          </cell>
          <cell r="C36">
            <v>8.26</v>
          </cell>
          <cell r="D36">
            <v>7.85</v>
          </cell>
          <cell r="E36">
            <v>7.46</v>
          </cell>
        </row>
        <row r="37">
          <cell r="B37">
            <v>26</v>
          </cell>
          <cell r="C37">
            <v>8.11</v>
          </cell>
          <cell r="D37">
            <v>7.71</v>
          </cell>
          <cell r="E37">
            <v>7.33</v>
          </cell>
        </row>
        <row r="38">
          <cell r="B38">
            <v>27</v>
          </cell>
          <cell r="C38">
            <v>7.97</v>
          </cell>
          <cell r="D38">
            <v>7.58</v>
          </cell>
          <cell r="E38">
            <v>7.2</v>
          </cell>
        </row>
        <row r="39">
          <cell r="B39">
            <v>28</v>
          </cell>
          <cell r="C39">
            <v>7.83</v>
          </cell>
          <cell r="D39">
            <v>7.44</v>
          </cell>
          <cell r="E39">
            <v>7.08</v>
          </cell>
        </row>
        <row r="40">
          <cell r="B40">
            <v>29</v>
          </cell>
          <cell r="C40">
            <v>7.89</v>
          </cell>
          <cell r="D40">
            <v>7.32</v>
          </cell>
          <cell r="E40">
            <v>6.96</v>
          </cell>
        </row>
        <row r="41">
          <cell r="B41">
            <v>30</v>
          </cell>
          <cell r="C41">
            <v>7.55</v>
          </cell>
          <cell r="D41">
            <v>7.19</v>
          </cell>
          <cell r="E41">
            <v>6.85</v>
          </cell>
        </row>
        <row r="42">
          <cell r="B42">
            <v>31</v>
          </cell>
          <cell r="C42">
            <v>7.43</v>
          </cell>
          <cell r="D42">
            <v>7.07</v>
          </cell>
          <cell r="E42">
            <v>6.73</v>
          </cell>
        </row>
        <row r="43">
          <cell r="B43">
            <v>32</v>
          </cell>
          <cell r="C43">
            <v>7.31</v>
          </cell>
          <cell r="D43">
            <v>6.96</v>
          </cell>
          <cell r="E43">
            <v>6.62</v>
          </cell>
        </row>
        <row r="44">
          <cell r="B44">
            <v>33</v>
          </cell>
          <cell r="C44">
            <v>7.28</v>
          </cell>
          <cell r="D44">
            <v>6.84</v>
          </cell>
          <cell r="E44">
            <v>6.52</v>
          </cell>
        </row>
        <row r="45">
          <cell r="B45">
            <v>34</v>
          </cell>
          <cell r="C45">
            <v>7.07</v>
          </cell>
          <cell r="D45">
            <v>6.73</v>
          </cell>
          <cell r="E45">
            <v>6.42</v>
          </cell>
        </row>
        <row r="46">
          <cell r="B46">
            <v>35</v>
          </cell>
          <cell r="C46">
            <v>6.95</v>
          </cell>
          <cell r="D46">
            <v>6.62</v>
          </cell>
          <cell r="E46">
            <v>6.31</v>
          </cell>
        </row>
        <row r="47">
          <cell r="B47">
            <v>36</v>
          </cell>
          <cell r="C47">
            <v>6.34</v>
          </cell>
          <cell r="D47">
            <v>6.52</v>
          </cell>
          <cell r="E47">
            <v>6.22</v>
          </cell>
        </row>
        <row r="48">
          <cell r="B48">
            <v>37</v>
          </cell>
          <cell r="C48">
            <v>6.73</v>
          </cell>
          <cell r="D48">
            <v>6.42</v>
          </cell>
          <cell r="E48">
            <v>6.12</v>
          </cell>
        </row>
        <row r="49">
          <cell r="B49">
            <v>38</v>
          </cell>
          <cell r="C49">
            <v>6.62</v>
          </cell>
          <cell r="D49">
            <v>6.32</v>
          </cell>
          <cell r="E49">
            <v>6.03</v>
          </cell>
        </row>
        <row r="50">
          <cell r="B50">
            <v>39</v>
          </cell>
          <cell r="C50">
            <v>6.52</v>
          </cell>
          <cell r="D50">
            <v>6.22</v>
          </cell>
          <cell r="E50">
            <v>5.93</v>
          </cell>
        </row>
        <row r="51">
          <cell r="B51">
            <v>40</v>
          </cell>
          <cell r="C51">
            <v>6.41</v>
          </cell>
          <cell r="D51">
            <v>6.12</v>
          </cell>
          <cell r="E51">
            <v>5.84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hyperlink" Target="http://www.deltachemical.com/PDFS/DeltaSodiumAluminate.pdf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deltachemical.com/PDFS/DeltaAlumLiquid.pdf" TargetMode="External"/><Relationship Id="rId1" Type="http://schemas.openxmlformats.org/officeDocument/2006/relationships/hyperlink" Target="http://www.sciencelab.com/msds.php?msdsId=9924035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://www.generalchemical.com/assets/msds/GC-7002.pdf" TargetMode="External"/><Relationship Id="rId4" Type="http://schemas.openxmlformats.org/officeDocument/2006/relationships/hyperlink" Target="http://msds.orica.com/pdf/shess-en-cds-020-000000015710.pdf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0"/>
  <sheetViews>
    <sheetView topLeftCell="B1" zoomScale="80" zoomScaleNormal="80" workbookViewId="0">
      <selection activeCell="J26" sqref="J26"/>
    </sheetView>
  </sheetViews>
  <sheetFormatPr defaultColWidth="9.1796875" defaultRowHeight="14.5" x14ac:dyDescent="0.35"/>
  <cols>
    <col min="1" max="1" width="22.453125" style="1" bestFit="1" customWidth="1"/>
    <col min="2" max="2" width="15.453125" style="1" customWidth="1"/>
    <col min="3" max="3" width="9.1796875" style="1"/>
    <col min="4" max="4" width="11" style="1" bestFit="1" customWidth="1"/>
    <col min="5" max="5" width="9.81640625" style="1" bestFit="1" customWidth="1"/>
    <col min="6" max="7" width="10.1796875" style="1" bestFit="1" customWidth="1"/>
    <col min="8" max="9" width="12.453125" style="1" bestFit="1" customWidth="1"/>
    <col min="10" max="10" width="9.1796875" style="1"/>
    <col min="11" max="11" width="12.54296875" style="1" bestFit="1" customWidth="1"/>
    <col min="12" max="16384" width="9.1796875" style="1"/>
  </cols>
  <sheetData>
    <row r="1" spans="1:15" ht="15.5" x14ac:dyDescent="0.35">
      <c r="A1" s="8" t="s">
        <v>0</v>
      </c>
    </row>
    <row r="2" spans="1:15" x14ac:dyDescent="0.35">
      <c r="A2" s="2" t="s">
        <v>23</v>
      </c>
    </row>
    <row r="3" spans="1:15" x14ac:dyDescent="0.35">
      <c r="E3" s="371" t="s">
        <v>15</v>
      </c>
      <c r="F3" s="371"/>
    </row>
    <row r="4" spans="1:15" x14ac:dyDescent="0.35">
      <c r="A4" s="2" t="s">
        <v>1</v>
      </c>
      <c r="E4" s="5">
        <v>1</v>
      </c>
      <c r="F4" s="5" t="s">
        <v>11</v>
      </c>
    </row>
    <row r="5" spans="1:15" x14ac:dyDescent="0.35">
      <c r="A5" s="1" t="s">
        <v>2</v>
      </c>
      <c r="B5" s="1">
        <v>500</v>
      </c>
      <c r="C5" s="1" t="s">
        <v>10</v>
      </c>
    </row>
    <row r="6" spans="1:15" x14ac:dyDescent="0.35">
      <c r="A6" s="1" t="s">
        <v>3</v>
      </c>
      <c r="B6" s="1">
        <v>250</v>
      </c>
      <c r="C6" s="1" t="s">
        <v>10</v>
      </c>
    </row>
    <row r="7" spans="1:15" x14ac:dyDescent="0.35">
      <c r="A7" s="1" t="s">
        <v>4</v>
      </c>
      <c r="B7" s="1">
        <v>500</v>
      </c>
      <c r="C7" s="1" t="s">
        <v>10</v>
      </c>
    </row>
    <row r="8" spans="1:15" x14ac:dyDescent="0.35">
      <c r="A8" s="1" t="s">
        <v>5</v>
      </c>
      <c r="B8" s="1">
        <v>50</v>
      </c>
      <c r="C8" s="1" t="s">
        <v>10</v>
      </c>
    </row>
    <row r="9" spans="1:15" x14ac:dyDescent="0.35">
      <c r="A9" s="1" t="s">
        <v>6</v>
      </c>
      <c r="B9" s="1">
        <v>25</v>
      </c>
      <c r="C9" s="1" t="s">
        <v>10</v>
      </c>
      <c r="F9" s="3">
        <v>1</v>
      </c>
      <c r="H9" s="3">
        <v>2</v>
      </c>
      <c r="L9" s="3">
        <v>3</v>
      </c>
      <c r="O9" s="3">
        <v>4</v>
      </c>
    </row>
    <row r="10" spans="1:15" x14ac:dyDescent="0.35">
      <c r="A10" s="1" t="s">
        <v>8</v>
      </c>
      <c r="B10" s="1">
        <v>1000</v>
      </c>
      <c r="C10" s="1" t="s">
        <v>9</v>
      </c>
    </row>
    <row r="12" spans="1:15" x14ac:dyDescent="0.35">
      <c r="A12" s="2" t="s">
        <v>24</v>
      </c>
    </row>
    <row r="13" spans="1:15" x14ac:dyDescent="0.35">
      <c r="A13" s="1" t="s">
        <v>7</v>
      </c>
      <c r="B13" s="1">
        <v>3000</v>
      </c>
      <c r="C13" s="1" t="s">
        <v>10</v>
      </c>
      <c r="G13" s="1">
        <v>8</v>
      </c>
      <c r="J13" s="4">
        <v>6</v>
      </c>
      <c r="M13" s="3">
        <v>5</v>
      </c>
    </row>
    <row r="14" spans="1:15" x14ac:dyDescent="0.35">
      <c r="A14" s="1" t="s">
        <v>25</v>
      </c>
      <c r="B14" s="9">
        <v>2</v>
      </c>
      <c r="C14" s="1" t="s">
        <v>10</v>
      </c>
    </row>
    <row r="15" spans="1:15" x14ac:dyDescent="0.35">
      <c r="A15" s="1" t="s">
        <v>222</v>
      </c>
      <c r="B15" s="161">
        <v>0.7</v>
      </c>
      <c r="H15" s="3">
        <v>7</v>
      </c>
    </row>
    <row r="18" spans="2:14" x14ac:dyDescent="0.35">
      <c r="B18" s="2" t="s">
        <v>26</v>
      </c>
      <c r="C18" s="6" t="s">
        <v>12</v>
      </c>
      <c r="D18" s="6" t="s">
        <v>16</v>
      </c>
      <c r="E18" s="6" t="s">
        <v>17</v>
      </c>
      <c r="F18" s="6" t="s">
        <v>223</v>
      </c>
      <c r="G18" s="6" t="s">
        <v>18</v>
      </c>
      <c r="H18" s="6" t="s">
        <v>29</v>
      </c>
      <c r="I18" s="6" t="s">
        <v>19</v>
      </c>
      <c r="J18" s="6" t="s">
        <v>20</v>
      </c>
      <c r="K18" s="6" t="s">
        <v>21</v>
      </c>
      <c r="L18" s="2" t="s">
        <v>22</v>
      </c>
    </row>
    <row r="19" spans="2:14" x14ac:dyDescent="0.35">
      <c r="B19" s="1" t="s">
        <v>2</v>
      </c>
      <c r="C19" s="3" t="s">
        <v>13</v>
      </c>
      <c r="D19" s="7">
        <f>60*$E$4*B5*$B$10/1000000</f>
        <v>30</v>
      </c>
      <c r="E19" s="7">
        <f>$C$37*D19</f>
        <v>9</v>
      </c>
      <c r="F19" s="7">
        <f t="shared" ref="F19:F23" si="0">E19+J19</f>
        <v>15.3</v>
      </c>
      <c r="G19" s="7">
        <f>F19+(F20-G20)+(F21-G21)+(F22-G22)+(F23-G23)</f>
        <v>27.080100000000002</v>
      </c>
      <c r="H19" s="7">
        <f>$C$39*G19</f>
        <v>8.1240299999999994</v>
      </c>
      <c r="I19" s="7">
        <f>$C$38*G19</f>
        <v>18.95607</v>
      </c>
      <c r="J19" s="7">
        <f>$B$15*E19</f>
        <v>6.3</v>
      </c>
      <c r="K19" s="7">
        <f>I19-J19</f>
        <v>12.65607</v>
      </c>
      <c r="L19" s="9">
        <f>D19-E19</f>
        <v>21</v>
      </c>
      <c r="N19" s="162"/>
    </row>
    <row r="20" spans="2:14" x14ac:dyDescent="0.35">
      <c r="B20" s="1" t="s">
        <v>3</v>
      </c>
      <c r="C20" s="3" t="s">
        <v>13</v>
      </c>
      <c r="D20" s="7">
        <f>60*$E$4*B6*$B$10/1000000</f>
        <v>15</v>
      </c>
      <c r="E20" s="7">
        <f t="shared" ref="E20:E23" si="1">$C$37*D20</f>
        <v>4.5</v>
      </c>
      <c r="F20" s="7">
        <f t="shared" si="0"/>
        <v>5.5709999999999997</v>
      </c>
      <c r="G20" s="7">
        <f>F44</f>
        <v>1.53</v>
      </c>
      <c r="H20" s="7">
        <f t="shared" ref="H20:H21" si="2">$C$39*G20</f>
        <v>0.45899999999999996</v>
      </c>
      <c r="I20" s="7">
        <f t="shared" ref="I20:I21" si="3">$C$38*G20</f>
        <v>1.071</v>
      </c>
      <c r="J20" s="7">
        <f>MIN($B$15*E20,I20)</f>
        <v>1.071</v>
      </c>
      <c r="K20" s="7">
        <f>I20-J20</f>
        <v>0</v>
      </c>
      <c r="L20" s="9">
        <f>D20-E20</f>
        <v>10.5</v>
      </c>
      <c r="N20" s="162"/>
    </row>
    <row r="21" spans="2:14" x14ac:dyDescent="0.35">
      <c r="B21" s="1" t="s">
        <v>4</v>
      </c>
      <c r="C21" s="3" t="s">
        <v>13</v>
      </c>
      <c r="D21" s="7">
        <f>60*$E$4*B7*$B$10/1000000</f>
        <v>30</v>
      </c>
      <c r="E21" s="7">
        <f t="shared" si="1"/>
        <v>9</v>
      </c>
      <c r="F21" s="7">
        <f t="shared" si="0"/>
        <v>15.3</v>
      </c>
      <c r="G21" s="7">
        <f>F45</f>
        <v>10.199999999999999</v>
      </c>
      <c r="H21" s="7">
        <f t="shared" si="2"/>
        <v>3.0599999999999996</v>
      </c>
      <c r="I21" s="7">
        <f t="shared" si="3"/>
        <v>7.1399999999999988</v>
      </c>
      <c r="J21" s="7">
        <f t="shared" ref="J21" si="4">MIN($B$15*E21,I21)</f>
        <v>6.3</v>
      </c>
      <c r="K21" s="7">
        <f>I21-J21</f>
        <v>0.83999999999999897</v>
      </c>
      <c r="L21" s="9">
        <f>D21-E21</f>
        <v>21</v>
      </c>
      <c r="N21" s="162"/>
    </row>
    <row r="22" spans="2:14" x14ac:dyDescent="0.35">
      <c r="B22" s="1" t="s">
        <v>5</v>
      </c>
      <c r="C22" s="3" t="s">
        <v>13</v>
      </c>
      <c r="D22" s="7">
        <f>60*$E$4*B8*$B$10/1000000</f>
        <v>3</v>
      </c>
      <c r="E22" s="7">
        <f>D22</f>
        <v>3</v>
      </c>
      <c r="F22" s="7">
        <f t="shared" si="0"/>
        <v>3</v>
      </c>
      <c r="G22" s="7">
        <f>F46</f>
        <v>0.76500000000000001</v>
      </c>
      <c r="H22" s="7">
        <f>G22</f>
        <v>0.76500000000000001</v>
      </c>
      <c r="I22" s="7">
        <f>G22-H22</f>
        <v>0</v>
      </c>
      <c r="J22" s="7">
        <f>I22</f>
        <v>0</v>
      </c>
      <c r="K22" s="7">
        <f t="shared" ref="K22:K23" si="5">I22-J22</f>
        <v>0</v>
      </c>
      <c r="L22" s="9">
        <f>D22-E22</f>
        <v>0</v>
      </c>
      <c r="N22" s="162"/>
    </row>
    <row r="23" spans="2:14" x14ac:dyDescent="0.35">
      <c r="B23" s="1" t="s">
        <v>6</v>
      </c>
      <c r="C23" s="3" t="s">
        <v>13</v>
      </c>
      <c r="D23" s="7">
        <f>60*$E$4*B9*$B$10/1000000</f>
        <v>1.5</v>
      </c>
      <c r="E23" s="7">
        <f t="shared" si="1"/>
        <v>0.44999999999999996</v>
      </c>
      <c r="F23" s="7">
        <f t="shared" si="0"/>
        <v>0.55709999999999993</v>
      </c>
      <c r="G23" s="7">
        <f>F47</f>
        <v>0.153</v>
      </c>
      <c r="H23" s="7">
        <f>$C$39*G23</f>
        <v>4.5899999999999996E-2</v>
      </c>
      <c r="I23" s="7">
        <f>$C$38*G23</f>
        <v>0.10709999999999999</v>
      </c>
      <c r="J23" s="7">
        <f>I23</f>
        <v>0.10709999999999999</v>
      </c>
      <c r="K23" s="7">
        <f t="shared" si="5"/>
        <v>0</v>
      </c>
      <c r="L23" s="9">
        <f>D23-E23</f>
        <v>1.05</v>
      </c>
      <c r="N23" s="162"/>
    </row>
    <row r="24" spans="2:14" x14ac:dyDescent="0.35">
      <c r="C24" s="3"/>
      <c r="D24" s="7"/>
      <c r="E24" s="7"/>
      <c r="F24" s="7"/>
      <c r="G24" s="7"/>
      <c r="H24" s="7"/>
      <c r="I24" s="7"/>
      <c r="J24" s="7"/>
      <c r="K24" s="7"/>
      <c r="L24" s="9"/>
      <c r="N24" s="162"/>
    </row>
    <row r="25" spans="2:14" x14ac:dyDescent="0.35">
      <c r="B25" s="1" t="s">
        <v>60</v>
      </c>
      <c r="C25" s="3" t="s">
        <v>13</v>
      </c>
      <c r="D25" s="7">
        <f t="shared" ref="D25:L25" si="6">SUM(D19:D23)</f>
        <v>79.5</v>
      </c>
      <c r="E25" s="7">
        <f t="shared" si="6"/>
        <v>25.95</v>
      </c>
      <c r="F25" s="7">
        <f t="shared" si="6"/>
        <v>39.728100000000005</v>
      </c>
      <c r="G25" s="7">
        <f t="shared" si="6"/>
        <v>39.728100000000005</v>
      </c>
      <c r="H25" s="7">
        <f t="shared" si="6"/>
        <v>12.45393</v>
      </c>
      <c r="I25" s="7">
        <f t="shared" si="6"/>
        <v>27.274170000000002</v>
      </c>
      <c r="J25" s="7">
        <f t="shared" si="6"/>
        <v>13.7781</v>
      </c>
      <c r="K25" s="7">
        <f t="shared" si="6"/>
        <v>13.49607</v>
      </c>
      <c r="L25" s="7">
        <f t="shared" si="6"/>
        <v>53.55</v>
      </c>
    </row>
    <row r="26" spans="2:14" x14ac:dyDescent="0.35">
      <c r="B26" s="1" t="s">
        <v>615</v>
      </c>
      <c r="C26" s="3" t="s">
        <v>13</v>
      </c>
      <c r="D26" s="7"/>
      <c r="E26" s="7">
        <f>D25-E25-L25</f>
        <v>0</v>
      </c>
      <c r="F26" s="7"/>
      <c r="G26" s="7">
        <f>F25-G25</f>
        <v>0</v>
      </c>
      <c r="H26" s="7">
        <f>G25-H25-I25</f>
        <v>0</v>
      </c>
      <c r="I26" s="7">
        <f>I25-J25-K25</f>
        <v>0</v>
      </c>
      <c r="J26" s="7"/>
      <c r="K26" s="7"/>
      <c r="L26" s="7"/>
    </row>
    <row r="27" spans="2:14" x14ac:dyDescent="0.35">
      <c r="B27" s="1" t="s">
        <v>8</v>
      </c>
      <c r="C27" s="3" t="s">
        <v>14</v>
      </c>
      <c r="D27" s="7">
        <f>60*$E$4*$B$10/1000</f>
        <v>60</v>
      </c>
      <c r="E27" s="7">
        <f>D27</f>
        <v>60</v>
      </c>
      <c r="F27" s="7">
        <f>E27+J27</f>
        <v>102</v>
      </c>
      <c r="G27" s="7">
        <f>D27+J27</f>
        <v>102</v>
      </c>
      <c r="H27" s="7">
        <f>G27-I27</f>
        <v>19.511790000000005</v>
      </c>
      <c r="I27" s="7">
        <f>J27+K27</f>
        <v>82.488209999999995</v>
      </c>
      <c r="J27" s="7">
        <f>B15*E27</f>
        <v>42</v>
      </c>
      <c r="K27" s="7">
        <f>SUM(K19:K23)*24/8</f>
        <v>40.488209999999995</v>
      </c>
    </row>
    <row r="29" spans="2:14" x14ac:dyDescent="0.35">
      <c r="B29" s="1" t="str">
        <f>B19</f>
        <v>TSS</v>
      </c>
      <c r="C29" s="1" t="s">
        <v>28</v>
      </c>
      <c r="D29" s="11">
        <f t="shared" ref="D29:K33" si="7">IFERROR(1000*D19/D$27,"")</f>
        <v>500</v>
      </c>
      <c r="E29" s="11">
        <f t="shared" si="7"/>
        <v>150</v>
      </c>
      <c r="F29" s="11">
        <f t="shared" si="7"/>
        <v>150</v>
      </c>
      <c r="G29" s="11">
        <f t="shared" si="7"/>
        <v>265.49117647058824</v>
      </c>
      <c r="H29" s="12">
        <f t="shared" si="7"/>
        <v>416.36518228209701</v>
      </c>
      <c r="I29" s="11">
        <f t="shared" si="7"/>
        <v>229.80338644759053</v>
      </c>
      <c r="J29" s="11">
        <f t="shared" si="7"/>
        <v>150</v>
      </c>
      <c r="K29" s="11">
        <f t="shared" si="7"/>
        <v>312.58655297431034</v>
      </c>
      <c r="L29" s="11" t="str">
        <f>IFERROR(1000*L19/#REF!,"")</f>
        <v/>
      </c>
    </row>
    <row r="30" spans="2:14" x14ac:dyDescent="0.35">
      <c r="B30" s="1" t="str">
        <f>B20</f>
        <v>BOD</v>
      </c>
      <c r="C30" s="1" t="s">
        <v>28</v>
      </c>
      <c r="D30" s="11">
        <f t="shared" si="7"/>
        <v>250</v>
      </c>
      <c r="E30" s="11">
        <f t="shared" si="7"/>
        <v>75</v>
      </c>
      <c r="F30" s="11">
        <f t="shared" si="7"/>
        <v>54.617647058823529</v>
      </c>
      <c r="G30" s="11">
        <f t="shared" si="7"/>
        <v>15</v>
      </c>
      <c r="H30" s="12">
        <f t="shared" si="7"/>
        <v>23.524238422000227</v>
      </c>
      <c r="I30" s="11">
        <f t="shared" si="7"/>
        <v>12.983673666818568</v>
      </c>
      <c r="J30" s="11">
        <f t="shared" si="7"/>
        <v>25.5</v>
      </c>
      <c r="K30" s="11">
        <f t="shared" si="7"/>
        <v>0</v>
      </c>
      <c r="L30" s="11" t="str">
        <f>IFERROR(1000*L20/#REF!,"")</f>
        <v/>
      </c>
    </row>
    <row r="31" spans="2:14" x14ac:dyDescent="0.35">
      <c r="B31" s="1" t="str">
        <f>B21</f>
        <v>COD</v>
      </c>
      <c r="C31" s="1" t="s">
        <v>28</v>
      </c>
      <c r="D31" s="11">
        <f t="shared" si="7"/>
        <v>500</v>
      </c>
      <c r="E31" s="11">
        <f t="shared" si="7"/>
        <v>150</v>
      </c>
      <c r="F31" s="11">
        <f t="shared" si="7"/>
        <v>150</v>
      </c>
      <c r="G31" s="11">
        <f t="shared" si="7"/>
        <v>100</v>
      </c>
      <c r="H31" s="12">
        <f t="shared" si="7"/>
        <v>156.8282561466682</v>
      </c>
      <c r="I31" s="11">
        <f t="shared" si="7"/>
        <v>86.557824445457115</v>
      </c>
      <c r="J31" s="11">
        <f t="shared" si="7"/>
        <v>150</v>
      </c>
      <c r="K31" s="11">
        <f t="shared" si="7"/>
        <v>20.74678035902301</v>
      </c>
      <c r="L31" s="11" t="str">
        <f>IFERROR(1000*L21/#REF!,"")</f>
        <v/>
      </c>
    </row>
    <row r="32" spans="2:14" x14ac:dyDescent="0.35">
      <c r="B32" s="1" t="str">
        <f>B22</f>
        <v>NH3</v>
      </c>
      <c r="C32" s="1" t="s">
        <v>28</v>
      </c>
      <c r="D32" s="11">
        <f t="shared" si="7"/>
        <v>50</v>
      </c>
      <c r="E32" s="11">
        <f t="shared" si="7"/>
        <v>50</v>
      </c>
      <c r="F32" s="11">
        <f t="shared" si="7"/>
        <v>29.411764705882351</v>
      </c>
      <c r="G32" s="11">
        <f t="shared" si="7"/>
        <v>7.5</v>
      </c>
      <c r="H32" s="12">
        <f t="shared" si="7"/>
        <v>39.207064036667049</v>
      </c>
      <c r="I32" s="11">
        <f t="shared" si="7"/>
        <v>0</v>
      </c>
      <c r="J32" s="11">
        <f t="shared" si="7"/>
        <v>0</v>
      </c>
      <c r="K32" s="11">
        <f t="shared" si="7"/>
        <v>0</v>
      </c>
      <c r="L32" s="11" t="str">
        <f>IFERROR(1000*L22/#REF!,"")</f>
        <v/>
      </c>
    </row>
    <row r="33" spans="2:12" x14ac:dyDescent="0.35">
      <c r="B33" s="1" t="str">
        <f>B23</f>
        <v>P</v>
      </c>
      <c r="C33" s="1" t="s">
        <v>28</v>
      </c>
      <c r="D33" s="11">
        <f t="shared" si="7"/>
        <v>25</v>
      </c>
      <c r="E33" s="11">
        <f t="shared" si="7"/>
        <v>7.4999999999999991</v>
      </c>
      <c r="F33" s="11">
        <f t="shared" si="7"/>
        <v>5.4617647058823522</v>
      </c>
      <c r="G33" s="11">
        <f t="shared" si="7"/>
        <v>1.5</v>
      </c>
      <c r="H33" s="12">
        <f t="shared" si="7"/>
        <v>2.352423842200023</v>
      </c>
      <c r="I33" s="11">
        <f t="shared" si="7"/>
        <v>1.2983673666818565</v>
      </c>
      <c r="J33" s="11">
        <f t="shared" si="7"/>
        <v>2.5499999999999994</v>
      </c>
      <c r="K33" s="11">
        <f t="shared" si="7"/>
        <v>0</v>
      </c>
      <c r="L33" s="11" t="str">
        <f>IFERROR(1000*L23/#REF!,"")</f>
        <v/>
      </c>
    </row>
    <row r="36" spans="2:12" x14ac:dyDescent="0.35">
      <c r="B36" s="2" t="s">
        <v>27</v>
      </c>
    </row>
    <row r="37" spans="2:12" x14ac:dyDescent="0.35">
      <c r="B37" t="s">
        <v>30</v>
      </c>
      <c r="C37" s="10">
        <v>0.3</v>
      </c>
    </row>
    <row r="38" spans="2:12" x14ac:dyDescent="0.35">
      <c r="B38" t="s">
        <v>31</v>
      </c>
      <c r="C38" s="10">
        <f>1-C39</f>
        <v>0.7</v>
      </c>
    </row>
    <row r="39" spans="2:12" x14ac:dyDescent="0.35">
      <c r="B39" t="s">
        <v>32</v>
      </c>
      <c r="C39" s="10">
        <v>0.3</v>
      </c>
    </row>
    <row r="40" spans="2:12" x14ac:dyDescent="0.35">
      <c r="B40" t="s">
        <v>33</v>
      </c>
      <c r="C40" s="10">
        <f>1-C37</f>
        <v>0.7</v>
      </c>
    </row>
    <row r="42" spans="2:12" x14ac:dyDescent="0.35">
      <c r="B42" s="315" t="s">
        <v>35</v>
      </c>
      <c r="C42" s="315" t="s">
        <v>12</v>
      </c>
      <c r="D42" s="315" t="s">
        <v>34</v>
      </c>
      <c r="E42" s="372" t="s">
        <v>37</v>
      </c>
      <c r="F42" s="372"/>
      <c r="G42" s="315" t="s">
        <v>38</v>
      </c>
      <c r="H42" s="315" t="s">
        <v>36</v>
      </c>
      <c r="I42" s="315" t="s">
        <v>40</v>
      </c>
    </row>
    <row r="43" spans="2:12" x14ac:dyDescent="0.35">
      <c r="B43" s="1" t="s">
        <v>2</v>
      </c>
      <c r="C43" s="1" t="s">
        <v>28</v>
      </c>
      <c r="D43" s="13">
        <v>100</v>
      </c>
      <c r="E43" s="3">
        <v>90</v>
      </c>
      <c r="F43" s="7">
        <f>E43*$G$27/1000</f>
        <v>9.18</v>
      </c>
      <c r="G43" s="7">
        <f>E19+J19</f>
        <v>15.3</v>
      </c>
      <c r="H43" s="7">
        <f>IF(G43-F43&lt;0,0,G43-F43)</f>
        <v>6.120000000000001</v>
      </c>
      <c r="I43" s="7">
        <f>H29</f>
        <v>416.36518228209701</v>
      </c>
    </row>
    <row r="44" spans="2:12" x14ac:dyDescent="0.35">
      <c r="B44" s="1" t="s">
        <v>3</v>
      </c>
      <c r="C44" s="1" t="s">
        <v>28</v>
      </c>
      <c r="D44" s="13">
        <v>20</v>
      </c>
      <c r="E44" s="3">
        <v>15</v>
      </c>
      <c r="F44" s="7">
        <f>E44*$G$27/1000</f>
        <v>1.53</v>
      </c>
      <c r="G44" s="7">
        <f>E20+J20</f>
        <v>5.5709999999999997</v>
      </c>
      <c r="H44" s="7">
        <f t="shared" ref="H44:H47" si="8">IF(G44-F44&lt;0,0,G44-F44)</f>
        <v>4.0409999999999995</v>
      </c>
      <c r="I44" s="7">
        <f>H30</f>
        <v>23.524238422000227</v>
      </c>
    </row>
    <row r="45" spans="2:12" x14ac:dyDescent="0.35">
      <c r="B45" s="1" t="s">
        <v>4</v>
      </c>
      <c r="C45" s="1" t="s">
        <v>28</v>
      </c>
      <c r="D45" s="13">
        <v>125</v>
      </c>
      <c r="E45" s="3">
        <v>100</v>
      </c>
      <c r="F45" s="7">
        <f>E45*$G$27/1000</f>
        <v>10.199999999999999</v>
      </c>
      <c r="G45" s="7">
        <f>E21+J21</f>
        <v>15.3</v>
      </c>
      <c r="H45" s="7">
        <f t="shared" si="8"/>
        <v>5.1000000000000014</v>
      </c>
      <c r="I45" s="7">
        <f>H31</f>
        <v>156.8282561466682</v>
      </c>
    </row>
    <row r="46" spans="2:12" x14ac:dyDescent="0.35">
      <c r="B46" s="1" t="s">
        <v>5</v>
      </c>
      <c r="C46" s="1" t="s">
        <v>28</v>
      </c>
      <c r="D46" s="13">
        <v>20</v>
      </c>
      <c r="E46" s="3">
        <v>7.5</v>
      </c>
      <c r="F46" s="7">
        <f>E46*$G$27/1000</f>
        <v>0.76500000000000001</v>
      </c>
      <c r="G46" s="7">
        <f>E22+J22</f>
        <v>3</v>
      </c>
      <c r="H46" s="7">
        <f t="shared" si="8"/>
        <v>2.2349999999999999</v>
      </c>
      <c r="I46" s="7">
        <f>H32</f>
        <v>39.207064036667049</v>
      </c>
    </row>
    <row r="47" spans="2:12" x14ac:dyDescent="0.35">
      <c r="B47" s="1" t="s">
        <v>6</v>
      </c>
      <c r="C47" s="1" t="s">
        <v>28</v>
      </c>
      <c r="D47" s="13">
        <v>2</v>
      </c>
      <c r="E47" s="3">
        <v>1.5</v>
      </c>
      <c r="F47" s="7">
        <f>E47*$G$27/1000</f>
        <v>0.153</v>
      </c>
      <c r="G47" s="7">
        <f>E23+J23</f>
        <v>0.55709999999999993</v>
      </c>
      <c r="H47" s="7">
        <f t="shared" si="8"/>
        <v>0.4040999999999999</v>
      </c>
      <c r="I47" s="7">
        <f>H33</f>
        <v>2.352423842200023</v>
      </c>
    </row>
    <row r="49" spans="2:4" x14ac:dyDescent="0.35">
      <c r="B49" s="2" t="s">
        <v>39</v>
      </c>
    </row>
    <row r="50" spans="2:4" x14ac:dyDescent="0.35">
      <c r="B50" s="1" t="s">
        <v>7</v>
      </c>
      <c r="C50" s="1" t="s">
        <v>47</v>
      </c>
      <c r="D50" s="162">
        <f>C56</f>
        <v>3672</v>
      </c>
    </row>
    <row r="51" spans="2:4" x14ac:dyDescent="0.35">
      <c r="B51" s="1" t="s">
        <v>3</v>
      </c>
      <c r="C51" s="1" t="s">
        <v>47</v>
      </c>
      <c r="D51" s="9">
        <f>(F20-G20)*24/$E$4</f>
        <v>96.98399999999998</v>
      </c>
    </row>
    <row r="52" spans="2:4" x14ac:dyDescent="0.35">
      <c r="B52" s="1" t="s">
        <v>4</v>
      </c>
      <c r="C52" s="1" t="s">
        <v>47</v>
      </c>
      <c r="D52" s="9">
        <f t="shared" ref="D52:D53" si="9">(F21-G21)*24/$E$4</f>
        <v>122.40000000000003</v>
      </c>
    </row>
    <row r="53" spans="2:4" x14ac:dyDescent="0.35">
      <c r="B53" s="1" t="s">
        <v>5</v>
      </c>
      <c r="C53" s="1" t="s">
        <v>47</v>
      </c>
      <c r="D53" s="9">
        <f t="shared" si="9"/>
        <v>53.64</v>
      </c>
    </row>
    <row r="55" spans="2:4" x14ac:dyDescent="0.35">
      <c r="B55" s="1" t="s">
        <v>224</v>
      </c>
      <c r="C55" s="1">
        <v>10</v>
      </c>
      <c r="D55" s="1" t="s">
        <v>194</v>
      </c>
    </row>
    <row r="56" spans="2:4" x14ac:dyDescent="0.35">
      <c r="B56" s="1" t="s">
        <v>225</v>
      </c>
      <c r="C56" s="162">
        <f>C55*F19*24/$E$4</f>
        <v>3672</v>
      </c>
      <c r="D56" s="1" t="s">
        <v>13</v>
      </c>
    </row>
    <row r="57" spans="2:4" x14ac:dyDescent="0.35">
      <c r="B57" s="1" t="s">
        <v>226</v>
      </c>
      <c r="C57" s="162">
        <f>C56/(B13/1000)</f>
        <v>1224</v>
      </c>
      <c r="D57" s="1" t="s">
        <v>14</v>
      </c>
    </row>
    <row r="59" spans="2:4" x14ac:dyDescent="0.35">
      <c r="B59" s="2" t="s">
        <v>227</v>
      </c>
    </row>
    <row r="60" spans="2:4" x14ac:dyDescent="0.35">
      <c r="B60" s="1" t="s">
        <v>231</v>
      </c>
      <c r="C60" s="1">
        <v>0.05</v>
      </c>
      <c r="D60" s="1" t="s">
        <v>232</v>
      </c>
    </row>
    <row r="61" spans="2:4" x14ac:dyDescent="0.35">
      <c r="B61" s="1" t="s">
        <v>228</v>
      </c>
      <c r="C61" s="1">
        <v>0.75</v>
      </c>
      <c r="D61" s="1" t="s">
        <v>232</v>
      </c>
    </row>
    <row r="62" spans="2:4" x14ac:dyDescent="0.35">
      <c r="B62" s="1" t="s">
        <v>229</v>
      </c>
      <c r="C62" s="1">
        <v>0.9</v>
      </c>
      <c r="D62" s="1" t="s">
        <v>232</v>
      </c>
    </row>
    <row r="63" spans="2:4" x14ac:dyDescent="0.35">
      <c r="B63" s="1" t="s">
        <v>230</v>
      </c>
      <c r="C63" s="1">
        <v>4.5999999999999996</v>
      </c>
      <c r="D63" s="1" t="s">
        <v>232</v>
      </c>
    </row>
    <row r="65" spans="2:9" x14ac:dyDescent="0.35">
      <c r="B65" s="1" t="s">
        <v>7</v>
      </c>
      <c r="C65" s="1" t="s">
        <v>233</v>
      </c>
      <c r="D65" s="162">
        <f>D50*C60/0.209</f>
        <v>878.46889952153128</v>
      </c>
      <c r="F65" s="1" t="s">
        <v>234</v>
      </c>
      <c r="H65" s="1">
        <v>5</v>
      </c>
      <c r="I65" s="1" t="s">
        <v>75</v>
      </c>
    </row>
    <row r="66" spans="2:9" x14ac:dyDescent="0.35">
      <c r="B66" s="1" t="s">
        <v>3</v>
      </c>
      <c r="C66" s="1" t="s">
        <v>233</v>
      </c>
      <c r="D66" s="162">
        <f>D51*C61/0.209</f>
        <v>348.02870813397124</v>
      </c>
      <c r="F66" s="1" t="s">
        <v>235</v>
      </c>
      <c r="H66" s="163">
        <v>6.0999999999999999E-2</v>
      </c>
    </row>
    <row r="67" spans="2:9" x14ac:dyDescent="0.35">
      <c r="B67" s="1" t="s">
        <v>4</v>
      </c>
      <c r="C67" s="1" t="s">
        <v>233</v>
      </c>
      <c r="D67" s="162">
        <f>D52*C62/0.209</f>
        <v>527.08133971291886</v>
      </c>
      <c r="F67" s="1" t="s">
        <v>236</v>
      </c>
      <c r="H67" s="1">
        <v>1.25</v>
      </c>
      <c r="I67" s="1" t="s">
        <v>49</v>
      </c>
    </row>
    <row r="68" spans="2:9" x14ac:dyDescent="0.35">
      <c r="B68" s="1" t="s">
        <v>5</v>
      </c>
      <c r="C68" s="1" t="s">
        <v>233</v>
      </c>
      <c r="D68" s="162">
        <f>D53*C63/0.209</f>
        <v>1180.5933014354066</v>
      </c>
      <c r="F68" s="1" t="s">
        <v>237</v>
      </c>
      <c r="H68" s="162">
        <f>D70/(H66*H65*H67)</f>
        <v>7696.189505059222</v>
      </c>
      <c r="I68" s="1" t="s">
        <v>45</v>
      </c>
    </row>
    <row r="69" spans="2:9" x14ac:dyDescent="0.35">
      <c r="F69" s="1" t="s">
        <v>238</v>
      </c>
      <c r="H69" s="1">
        <v>2</v>
      </c>
    </row>
    <row r="70" spans="2:9" x14ac:dyDescent="0.35">
      <c r="B70" s="1" t="s">
        <v>60</v>
      </c>
      <c r="C70" s="1" t="s">
        <v>233</v>
      </c>
      <c r="D70" s="162">
        <f>SUM(D65:D68)</f>
        <v>2934.1722488038281</v>
      </c>
      <c r="F70" s="1" t="s">
        <v>239</v>
      </c>
      <c r="H70" s="162">
        <f>H68/(H69*24)</f>
        <v>160.33728135540045</v>
      </c>
      <c r="I70" s="1" t="s">
        <v>59</v>
      </c>
    </row>
  </sheetData>
  <mergeCells count="2">
    <mergeCell ref="E3:F3"/>
    <mergeCell ref="E42:F42"/>
  </mergeCell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"/>
  <sheetViews>
    <sheetView zoomScale="80" zoomScaleNormal="80" workbookViewId="0">
      <selection activeCell="A3" sqref="A3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2"/>
  <sheetViews>
    <sheetView topLeftCell="A19" zoomScale="80" zoomScaleNormal="80" workbookViewId="0">
      <selection activeCell="B45" sqref="B45"/>
    </sheetView>
  </sheetViews>
  <sheetFormatPr defaultRowHeight="14.5" x14ac:dyDescent="0.35"/>
  <cols>
    <col min="1" max="1" width="23.7265625" bestFit="1" customWidth="1"/>
    <col min="2" max="2" width="11.26953125" bestFit="1" customWidth="1"/>
    <col min="4" max="4" width="9.1796875" customWidth="1"/>
  </cols>
  <sheetData>
    <row r="1" spans="1:6" x14ac:dyDescent="0.35">
      <c r="A1" s="2" t="s">
        <v>240</v>
      </c>
      <c r="B1" s="1"/>
      <c r="C1" s="1"/>
      <c r="D1" s="1"/>
      <c r="E1" s="1"/>
      <c r="F1" s="1"/>
    </row>
    <row r="2" spans="1:6" x14ac:dyDescent="0.35">
      <c r="A2" s="1" t="s">
        <v>241</v>
      </c>
      <c r="B2" s="164">
        <v>42571</v>
      </c>
      <c r="C2" s="1"/>
      <c r="D2" s="1"/>
      <c r="E2" s="1"/>
      <c r="F2" s="1"/>
    </row>
    <row r="3" spans="1:6" x14ac:dyDescent="0.35">
      <c r="A3" s="1"/>
      <c r="B3" s="1"/>
      <c r="C3" s="1"/>
      <c r="D3" s="1"/>
      <c r="E3" s="1"/>
      <c r="F3" s="1"/>
    </row>
    <row r="4" spans="1:6" x14ac:dyDescent="0.35">
      <c r="A4" s="1" t="s">
        <v>242</v>
      </c>
      <c r="B4" s="1">
        <v>4500</v>
      </c>
      <c r="C4" s="1" t="s">
        <v>28</v>
      </c>
      <c r="D4" s="1"/>
      <c r="E4" s="1"/>
      <c r="F4" s="1"/>
    </row>
    <row r="5" spans="1:6" x14ac:dyDescent="0.35">
      <c r="A5" s="1" t="s">
        <v>8</v>
      </c>
      <c r="B5" s="1">
        <v>20</v>
      </c>
      <c r="C5" s="1" t="s">
        <v>243</v>
      </c>
      <c r="D5" s="1"/>
      <c r="E5" s="1"/>
      <c r="F5" s="1"/>
    </row>
    <row r="6" spans="1:6" x14ac:dyDescent="0.35">
      <c r="A6" s="1" t="s">
        <v>244</v>
      </c>
      <c r="B6" s="1">
        <f>B4*B5/1000000</f>
        <v>0.09</v>
      </c>
      <c r="C6" s="1" t="s">
        <v>103</v>
      </c>
      <c r="D6" s="1"/>
      <c r="E6" s="1"/>
      <c r="F6" s="1"/>
    </row>
    <row r="7" spans="1:6" x14ac:dyDescent="0.35">
      <c r="A7" s="1"/>
      <c r="B7" s="1"/>
      <c r="C7" s="1"/>
      <c r="D7" s="1"/>
      <c r="E7" s="1"/>
      <c r="F7" s="1"/>
    </row>
    <row r="8" spans="1:6" x14ac:dyDescent="0.35">
      <c r="A8" s="1"/>
      <c r="B8" s="3" t="s">
        <v>245</v>
      </c>
      <c r="C8" s="3" t="s">
        <v>246</v>
      </c>
      <c r="D8" s="1"/>
      <c r="E8" s="1"/>
      <c r="F8" s="1"/>
    </row>
    <row r="9" spans="1:6" x14ac:dyDescent="0.35">
      <c r="A9" s="1" t="s">
        <v>247</v>
      </c>
      <c r="B9" s="165">
        <v>0.4</v>
      </c>
      <c r="C9" s="165">
        <v>0.6</v>
      </c>
      <c r="D9" s="1"/>
      <c r="E9" s="1"/>
      <c r="F9" s="1"/>
    </row>
    <row r="10" spans="1:6" x14ac:dyDescent="0.35">
      <c r="A10" s="1"/>
      <c r="B10" s="3"/>
      <c r="C10" s="3"/>
      <c r="D10" s="1"/>
      <c r="E10" s="1"/>
      <c r="F10" s="1"/>
    </row>
    <row r="11" spans="1:6" x14ac:dyDescent="0.35">
      <c r="A11" s="1" t="s">
        <v>248</v>
      </c>
      <c r="B11" s="165">
        <v>0.6</v>
      </c>
      <c r="C11" s="165">
        <v>0.65</v>
      </c>
      <c r="D11" s="1"/>
      <c r="E11" s="1"/>
      <c r="F11" s="1"/>
    </row>
    <row r="12" spans="1:6" x14ac:dyDescent="0.35">
      <c r="A12" s="1" t="s">
        <v>249</v>
      </c>
      <c r="B12" s="165">
        <v>0.3</v>
      </c>
      <c r="C12" s="165">
        <v>0.3</v>
      </c>
      <c r="D12" s="1"/>
      <c r="E12" s="1"/>
      <c r="F12" s="1"/>
    </row>
    <row r="13" spans="1:6" x14ac:dyDescent="0.35">
      <c r="A13" s="1" t="s">
        <v>250</v>
      </c>
      <c r="B13" s="165">
        <f>1-(B11+B12)</f>
        <v>0.10000000000000009</v>
      </c>
      <c r="C13" s="165">
        <f>1-(C11+C12)</f>
        <v>5.0000000000000044E-2</v>
      </c>
      <c r="D13" s="1"/>
      <c r="E13" s="1"/>
      <c r="F13" s="1"/>
    </row>
    <row r="14" spans="1:6" x14ac:dyDescent="0.35">
      <c r="A14" s="1"/>
      <c r="B14" s="3"/>
      <c r="C14" s="3"/>
      <c r="D14" s="1"/>
      <c r="E14" s="1"/>
      <c r="F14" s="1"/>
    </row>
    <row r="15" spans="1:6" x14ac:dyDescent="0.35">
      <c r="A15" s="1" t="s">
        <v>251</v>
      </c>
      <c r="B15" s="166">
        <f>B11*B9*B6</f>
        <v>2.1599999999999998E-2</v>
      </c>
      <c r="C15" s="166">
        <f>C11*C9*B6</f>
        <v>3.5099999999999999E-2</v>
      </c>
      <c r="D15" s="1"/>
      <c r="E15" s="1"/>
      <c r="F15" s="1"/>
    </row>
    <row r="16" spans="1:6" x14ac:dyDescent="0.35">
      <c r="A16" s="1"/>
      <c r="B16" s="1"/>
      <c r="C16" s="1"/>
      <c r="D16" s="1"/>
      <c r="E16" s="1"/>
      <c r="F16" s="1"/>
    </row>
    <row r="17" spans="1:6" x14ac:dyDescent="0.35">
      <c r="A17" s="1" t="s">
        <v>252</v>
      </c>
      <c r="B17" s="1">
        <v>39.82</v>
      </c>
      <c r="C17" s="1" t="s">
        <v>253</v>
      </c>
      <c r="D17" s="1"/>
      <c r="E17" s="1"/>
      <c r="F17" s="1"/>
    </row>
    <row r="18" spans="1:6" x14ac:dyDescent="0.35">
      <c r="A18" s="1"/>
      <c r="B18" s="1"/>
      <c r="C18" s="1"/>
      <c r="D18" s="1"/>
      <c r="E18" s="1"/>
      <c r="F18" s="1"/>
    </row>
    <row r="19" spans="1:6" x14ac:dyDescent="0.35">
      <c r="A19" s="1" t="s">
        <v>254</v>
      </c>
      <c r="B19" s="167">
        <f>1000*B17*B15</f>
        <v>860.11199999999985</v>
      </c>
      <c r="C19" s="167">
        <f>1000*B17*C15</f>
        <v>1397.682</v>
      </c>
      <c r="D19" s="1" t="s">
        <v>81</v>
      </c>
      <c r="E19" s="1"/>
      <c r="F19" s="1"/>
    </row>
    <row r="20" spans="1:6" x14ac:dyDescent="0.35">
      <c r="A20" s="1"/>
      <c r="B20" s="1"/>
      <c r="C20" s="1"/>
      <c r="D20" s="1"/>
      <c r="E20" s="1"/>
      <c r="F20" s="1"/>
    </row>
    <row r="21" spans="1:6" x14ac:dyDescent="0.35">
      <c r="A21" s="1" t="s">
        <v>255</v>
      </c>
      <c r="B21" s="168">
        <v>0.9</v>
      </c>
      <c r="C21" s="1"/>
      <c r="D21" s="1"/>
      <c r="E21" s="1"/>
      <c r="F21" s="1"/>
    </row>
    <row r="22" spans="1:6" x14ac:dyDescent="0.35">
      <c r="A22" s="1" t="s">
        <v>256</v>
      </c>
      <c r="B22" s="168">
        <f>(1-B21)</f>
        <v>9.9999999999999978E-2</v>
      </c>
      <c r="C22" s="1"/>
      <c r="D22" s="1"/>
      <c r="E22" s="1"/>
      <c r="F22" s="1"/>
    </row>
    <row r="23" spans="1:6" x14ac:dyDescent="0.35">
      <c r="A23" s="1" t="s">
        <v>257</v>
      </c>
      <c r="B23" s="168">
        <v>0.9</v>
      </c>
      <c r="C23" s="1"/>
      <c r="D23" s="1"/>
      <c r="E23" s="1"/>
      <c r="F23" s="1"/>
    </row>
    <row r="24" spans="1:6" x14ac:dyDescent="0.35">
      <c r="A24" s="1" t="s">
        <v>258</v>
      </c>
      <c r="B24" s="168">
        <f>1-B23</f>
        <v>9.9999999999999978E-2</v>
      </c>
      <c r="C24" s="1"/>
      <c r="D24" s="1"/>
      <c r="E24" s="1"/>
      <c r="F24" s="1"/>
    </row>
    <row r="25" spans="1:6" x14ac:dyDescent="0.35">
      <c r="A25" s="1" t="s">
        <v>259</v>
      </c>
      <c r="B25" s="1">
        <v>7500</v>
      </c>
      <c r="C25" s="1"/>
      <c r="D25" s="1"/>
      <c r="E25" s="1"/>
      <c r="F25" s="1"/>
    </row>
    <row r="26" spans="1:6" x14ac:dyDescent="0.35">
      <c r="A26" s="1"/>
      <c r="B26" s="1"/>
      <c r="C26" s="1"/>
      <c r="D26" s="1"/>
      <c r="E26" s="1"/>
      <c r="F26" s="1"/>
    </row>
    <row r="27" spans="1:6" x14ac:dyDescent="0.35">
      <c r="A27" s="1" t="s">
        <v>260</v>
      </c>
      <c r="B27" s="167">
        <f>B19*B22*B25</f>
        <v>645083.99999999965</v>
      </c>
      <c r="C27" s="1" t="s">
        <v>261</v>
      </c>
      <c r="D27" s="161">
        <f>B27/SUM($B$27:$B$29)</f>
        <v>9.9999999999999964E-2</v>
      </c>
      <c r="E27" s="1"/>
      <c r="F27" s="1"/>
    </row>
    <row r="28" spans="1:6" x14ac:dyDescent="0.35">
      <c r="A28" s="1" t="s">
        <v>262</v>
      </c>
      <c r="B28" s="167">
        <f>B19*B21*B24*B25</f>
        <v>580575.59999999986</v>
      </c>
      <c r="C28" s="1" t="s">
        <v>261</v>
      </c>
      <c r="D28" s="161">
        <f t="shared" ref="D28:D29" si="0">B28/SUM($B$27:$B$29)</f>
        <v>0.09</v>
      </c>
      <c r="E28" s="1"/>
      <c r="F28" s="1"/>
    </row>
    <row r="29" spans="1:6" x14ac:dyDescent="0.35">
      <c r="A29" s="1" t="s">
        <v>263</v>
      </c>
      <c r="B29" s="167">
        <f>B19*B21*B23*B25</f>
        <v>5225180.3999999994</v>
      </c>
      <c r="C29" s="1" t="s">
        <v>261</v>
      </c>
      <c r="D29" s="161">
        <f t="shared" si="0"/>
        <v>0.81</v>
      </c>
      <c r="E29" s="1"/>
      <c r="F29" s="1"/>
    </row>
    <row r="30" spans="1:6" x14ac:dyDescent="0.35">
      <c r="A30" s="1"/>
      <c r="B30" s="169"/>
      <c r="C30" s="1"/>
      <c r="D30" s="1"/>
      <c r="E30" s="1"/>
      <c r="F30" s="1"/>
    </row>
    <row r="31" spans="1:6" x14ac:dyDescent="0.35">
      <c r="A31" s="1"/>
      <c r="B31" s="1"/>
      <c r="C31" s="1"/>
      <c r="D31" s="1"/>
      <c r="E31" s="1"/>
      <c r="F31" s="1"/>
    </row>
    <row r="32" spans="1:6" x14ac:dyDescent="0.35">
      <c r="A32" s="1" t="s">
        <v>264</v>
      </c>
      <c r="B32" s="1">
        <v>15</v>
      </c>
      <c r="C32" s="1" t="s">
        <v>265</v>
      </c>
      <c r="D32" s="1"/>
      <c r="E32" s="1"/>
      <c r="F32" s="1"/>
    </row>
    <row r="33" spans="1:6" x14ac:dyDescent="0.35">
      <c r="A33" s="1" t="s">
        <v>266</v>
      </c>
      <c r="B33" s="167">
        <f>B5*B32*24*3.6</f>
        <v>25920</v>
      </c>
      <c r="C33" s="1" t="s">
        <v>14</v>
      </c>
      <c r="D33" s="1"/>
      <c r="E33" s="1"/>
      <c r="F33" s="1"/>
    </row>
    <row r="34" spans="1:6" x14ac:dyDescent="0.35">
      <c r="A34" s="1"/>
      <c r="B34" s="1"/>
      <c r="C34" s="1"/>
      <c r="D34" s="1"/>
      <c r="E34" s="1"/>
      <c r="F34" s="1"/>
    </row>
    <row r="35" spans="1:6" x14ac:dyDescent="0.35">
      <c r="A35" s="1" t="s">
        <v>267</v>
      </c>
      <c r="B35" s="1">
        <v>12</v>
      </c>
      <c r="C35" s="1" t="s">
        <v>268</v>
      </c>
      <c r="D35" s="1"/>
      <c r="E35" s="1"/>
      <c r="F35" s="1"/>
    </row>
    <row r="36" spans="1:6" x14ac:dyDescent="0.35">
      <c r="A36" s="1" t="s">
        <v>269</v>
      </c>
      <c r="B36" s="1">
        <v>55</v>
      </c>
      <c r="C36" s="1" t="s">
        <v>268</v>
      </c>
      <c r="D36" s="1"/>
      <c r="E36" s="1"/>
      <c r="F36" s="1"/>
    </row>
    <row r="37" spans="1:6" x14ac:dyDescent="0.35">
      <c r="A37" s="1" t="s">
        <v>270</v>
      </c>
      <c r="B37" s="166">
        <f>(B6*1.95+B5*4.18)/(B5+B6)</f>
        <v>4.1700099552015928</v>
      </c>
      <c r="C37" s="1" t="s">
        <v>271</v>
      </c>
      <c r="D37" s="1"/>
      <c r="E37" s="1"/>
      <c r="F37" s="1"/>
    </row>
    <row r="38" spans="1:6" x14ac:dyDescent="0.35">
      <c r="A38" s="1"/>
      <c r="B38" s="1"/>
      <c r="C38" s="1"/>
      <c r="D38" s="1"/>
      <c r="E38" s="1"/>
      <c r="F38" s="1"/>
    </row>
    <row r="39" spans="1:6" x14ac:dyDescent="0.35">
      <c r="A39" s="1" t="s">
        <v>272</v>
      </c>
      <c r="B39" s="167">
        <f>B37*B6*(B36-B35)*8670*1.2</f>
        <v>167899.1124310602</v>
      </c>
      <c r="C39" s="1" t="s">
        <v>261</v>
      </c>
      <c r="D39" s="1" t="s">
        <v>273</v>
      </c>
      <c r="E39" s="1"/>
      <c r="F39" s="1"/>
    </row>
    <row r="40" spans="1:6" x14ac:dyDescent="0.35">
      <c r="A40" s="1" t="s">
        <v>274</v>
      </c>
      <c r="B40" s="170">
        <f>B39-B28</f>
        <v>-412676.48756893969</v>
      </c>
      <c r="C40" s="1" t="s">
        <v>261</v>
      </c>
      <c r="D40" s="1"/>
      <c r="E40" s="1"/>
      <c r="F40" s="1"/>
    </row>
    <row r="41" spans="1:6" x14ac:dyDescent="0.35">
      <c r="B41" s="170"/>
      <c r="C41" s="1"/>
      <c r="D41" s="1"/>
      <c r="E41" s="1"/>
      <c r="F41" s="1"/>
    </row>
    <row r="42" spans="1:6" x14ac:dyDescent="0.35">
      <c r="A42" s="1"/>
      <c r="B42" s="1"/>
      <c r="C42" s="1"/>
      <c r="D42" s="1"/>
      <c r="E42" s="1"/>
      <c r="F42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48"/>
  <sheetViews>
    <sheetView tabSelected="1" topLeftCell="D21" zoomScale="80" zoomScaleNormal="80" workbookViewId="0">
      <selection activeCell="F47" sqref="F47"/>
    </sheetView>
  </sheetViews>
  <sheetFormatPr defaultColWidth="9.1796875" defaultRowHeight="14.5" x14ac:dyDescent="0.35"/>
  <cols>
    <col min="1" max="1" width="34" style="1" customWidth="1"/>
    <col min="2" max="2" width="12.26953125" style="1" customWidth="1"/>
    <col min="3" max="3" width="11.7265625" style="1" bestFit="1" customWidth="1"/>
    <col min="4" max="4" width="66.26953125" style="1" bestFit="1" customWidth="1"/>
    <col min="5" max="5" width="9.1796875" style="1"/>
    <col min="6" max="6" width="31.7265625" style="1" bestFit="1" customWidth="1"/>
    <col min="7" max="7" width="12" style="1" bestFit="1" customWidth="1"/>
    <col min="8" max="8" width="15.54296875" style="1" bestFit="1" customWidth="1"/>
    <col min="9" max="9" width="66.26953125" style="1" bestFit="1" customWidth="1"/>
    <col min="10" max="10" width="9.1796875" style="1"/>
    <col min="11" max="11" width="36.26953125" style="1" bestFit="1" customWidth="1"/>
    <col min="12" max="12" width="9.81640625" style="1" bestFit="1" customWidth="1"/>
    <col min="13" max="13" width="9.1796875" style="1"/>
    <col min="14" max="14" width="46.26953125" style="1" customWidth="1"/>
    <col min="15" max="16384" width="9.1796875" style="1"/>
  </cols>
  <sheetData>
    <row r="1" spans="1:14" x14ac:dyDescent="0.35">
      <c r="A1" s="2" t="s">
        <v>550</v>
      </c>
      <c r="D1" s="2"/>
    </row>
    <row r="2" spans="1:14" x14ac:dyDescent="0.35">
      <c r="A2" s="297" t="s">
        <v>549</v>
      </c>
      <c r="F2" s="297" t="s">
        <v>548</v>
      </c>
      <c r="G2" s="299" t="s">
        <v>479</v>
      </c>
      <c r="H2" s="299" t="s">
        <v>478</v>
      </c>
      <c r="K2" s="297" t="s">
        <v>547</v>
      </c>
    </row>
    <row r="3" spans="1:14" x14ac:dyDescent="0.35">
      <c r="A3" s="1" t="s">
        <v>546</v>
      </c>
      <c r="B3" s="162">
        <v>1030</v>
      </c>
      <c r="C3" s="1" t="s">
        <v>545</v>
      </c>
      <c r="F3" s="1" t="s">
        <v>544</v>
      </c>
      <c r="H3" s="1">
        <f>B18*B15*3600/1000000</f>
        <v>225</v>
      </c>
      <c r="I3" s="1" t="s">
        <v>439</v>
      </c>
      <c r="K3" s="300" t="s">
        <v>543</v>
      </c>
    </row>
    <row r="4" spans="1:14" x14ac:dyDescent="0.35">
      <c r="A4" s="1" t="s">
        <v>542</v>
      </c>
      <c r="B4" s="9">
        <v>12</v>
      </c>
      <c r="C4" s="1" t="s">
        <v>268</v>
      </c>
      <c r="F4" s="1" t="s">
        <v>140</v>
      </c>
      <c r="G4" s="166">
        <v>7.14</v>
      </c>
      <c r="H4" s="162">
        <f>G4*(C28*14/17)/B28</f>
        <v>153.46799999999999</v>
      </c>
      <c r="I4" s="1" t="s">
        <v>439</v>
      </c>
      <c r="K4" s="1" t="s">
        <v>541</v>
      </c>
      <c r="L4" s="308" t="s">
        <v>540</v>
      </c>
    </row>
    <row r="5" spans="1:14" x14ac:dyDescent="0.35">
      <c r="A5" s="1" t="s">
        <v>539</v>
      </c>
      <c r="B5" s="166">
        <v>1.3</v>
      </c>
      <c r="C5" s="1" t="s">
        <v>49</v>
      </c>
      <c r="F5" s="1" t="s">
        <v>538</v>
      </c>
      <c r="G5" s="166">
        <v>-3.57</v>
      </c>
      <c r="H5" s="162">
        <f>G5*C29*B29</f>
        <v>-128.66297850000001</v>
      </c>
      <c r="I5" s="1" t="s">
        <v>537</v>
      </c>
      <c r="K5" s="1" t="s">
        <v>536</v>
      </c>
      <c r="L5" s="309">
        <f>B10*(B3/1013.25)*(1-EXP(11.8571-3840.7/(B4+273.15)-216961/(B4+273.15)^2)/(B3/1013.25))*(1-(0.000975-0.00001426*B4+0.00000006436*B4^2)*(B3/1013.25))/((1-EXP(11.8571-3840.7/(B4+273.15)-216961/(B4+273.15)^2))*(1-(0.000975-0.00001426*B4+0.00000006436*B4^2)))</f>
        <v>5.5921209921257722</v>
      </c>
      <c r="M5" s="1" t="s">
        <v>75</v>
      </c>
      <c r="N5" s="1" t="s">
        <v>535</v>
      </c>
    </row>
    <row r="6" spans="1:14" x14ac:dyDescent="0.35">
      <c r="F6" s="1" t="s">
        <v>448</v>
      </c>
      <c r="G6" s="166">
        <v>3</v>
      </c>
      <c r="H6" s="9">
        <f>(1+B35)*B36*G6</f>
        <v>35.344774058295457</v>
      </c>
      <c r="I6" s="1" t="s">
        <v>534</v>
      </c>
      <c r="L6" s="314"/>
    </row>
    <row r="7" spans="1:14" x14ac:dyDescent="0.35">
      <c r="A7" s="297" t="s">
        <v>533</v>
      </c>
      <c r="K7" s="1" t="s">
        <v>532</v>
      </c>
      <c r="L7" s="308" t="s">
        <v>531</v>
      </c>
    </row>
    <row r="8" spans="1:14" x14ac:dyDescent="0.35">
      <c r="A8" s="1" t="s">
        <v>530</v>
      </c>
      <c r="B8" s="9">
        <v>55</v>
      </c>
      <c r="C8" s="1" t="s">
        <v>75</v>
      </c>
      <c r="F8" s="1" t="s">
        <v>529</v>
      </c>
      <c r="H8" s="9">
        <f>H3-SUM(H4:H7)</f>
        <v>164.85020444170456</v>
      </c>
      <c r="I8" s="1" t="s">
        <v>439</v>
      </c>
      <c r="K8" s="1" t="s">
        <v>528</v>
      </c>
      <c r="L8" s="308">
        <v>1.0069999999999999</v>
      </c>
      <c r="M8" s="1" t="s">
        <v>524</v>
      </c>
    </row>
    <row r="9" spans="1:14" x14ac:dyDescent="0.35">
      <c r="A9" s="1" t="s">
        <v>527</v>
      </c>
      <c r="B9" s="9">
        <v>30</v>
      </c>
      <c r="C9" s="1" t="s">
        <v>75</v>
      </c>
      <c r="H9" s="9">
        <f>H8*1000000/(3600*B15)</f>
        <v>183.16689382411619</v>
      </c>
      <c r="I9" s="1" t="s">
        <v>526</v>
      </c>
      <c r="K9" s="1" t="s">
        <v>525</v>
      </c>
      <c r="L9" s="308">
        <v>0.71799999999999997</v>
      </c>
      <c r="M9" s="1" t="s">
        <v>524</v>
      </c>
    </row>
    <row r="10" spans="1:14" x14ac:dyDescent="0.35">
      <c r="A10" s="1" t="s">
        <v>523</v>
      </c>
      <c r="B10" s="1">
        <v>5.5</v>
      </c>
      <c r="C10" s="1" t="s">
        <v>75</v>
      </c>
      <c r="K10" s="1" t="s">
        <v>522</v>
      </c>
      <c r="L10" s="310">
        <f>G24</f>
        <v>13711.8886305658</v>
      </c>
      <c r="M10" s="1" t="s">
        <v>59</v>
      </c>
    </row>
    <row r="11" spans="1:14" x14ac:dyDescent="0.35">
      <c r="A11" s="1" t="s">
        <v>521</v>
      </c>
      <c r="B11" s="1">
        <f>PRODUCT(B8:B10)</f>
        <v>9075</v>
      </c>
      <c r="C11" s="1" t="s">
        <v>14</v>
      </c>
      <c r="F11" s="297" t="s">
        <v>520</v>
      </c>
      <c r="L11" s="309">
        <f>L10/3600</f>
        <v>3.8088579529349444</v>
      </c>
      <c r="M11" s="1" t="s">
        <v>519</v>
      </c>
    </row>
    <row r="12" spans="1:14" x14ac:dyDescent="0.35">
      <c r="A12" s="1" t="s">
        <v>518</v>
      </c>
      <c r="B12" s="1">
        <v>2500</v>
      </c>
      <c r="C12" s="1" t="s">
        <v>10</v>
      </c>
      <c r="F12" s="1" t="s">
        <v>517</v>
      </c>
      <c r="G12" s="166">
        <v>2</v>
      </c>
      <c r="H12" s="1" t="s">
        <v>10</v>
      </c>
      <c r="L12" s="308"/>
    </row>
    <row r="13" spans="1:14" x14ac:dyDescent="0.35">
      <c r="K13" s="1" t="s">
        <v>516</v>
      </c>
      <c r="L13" s="309">
        <f>B3/10</f>
        <v>103</v>
      </c>
      <c r="M13" s="1" t="s">
        <v>487</v>
      </c>
    </row>
    <row r="14" spans="1:14" x14ac:dyDescent="0.35">
      <c r="A14" s="297" t="s">
        <v>515</v>
      </c>
      <c r="D14" s="1" t="s">
        <v>514</v>
      </c>
      <c r="F14" s="1" t="s">
        <v>235</v>
      </c>
      <c r="G14" s="378">
        <v>6.5000000000000002E-2</v>
      </c>
      <c r="H14" s="1" t="s">
        <v>507</v>
      </c>
      <c r="I14" s="1" t="s">
        <v>513</v>
      </c>
      <c r="K14" s="1" t="s">
        <v>512</v>
      </c>
      <c r="L14" s="308">
        <v>8760</v>
      </c>
      <c r="M14" s="1" t="s">
        <v>511</v>
      </c>
    </row>
    <row r="15" spans="1:14" x14ac:dyDescent="0.35">
      <c r="A15" s="1" t="s">
        <v>8</v>
      </c>
      <c r="B15" s="1">
        <v>250</v>
      </c>
      <c r="C15" s="1" t="s">
        <v>510</v>
      </c>
      <c r="D15" s="1" t="s">
        <v>509</v>
      </c>
      <c r="F15" s="1" t="s">
        <v>508</v>
      </c>
      <c r="G15" s="307">
        <f>G14*(4/L5)^0.25</f>
        <v>5.9777013644172754E-2</v>
      </c>
      <c r="H15" s="1" t="s">
        <v>507</v>
      </c>
      <c r="K15" s="1" t="s">
        <v>506</v>
      </c>
      <c r="L15" s="304">
        <v>0.95</v>
      </c>
    </row>
    <row r="16" spans="1:14" x14ac:dyDescent="0.35">
      <c r="B16" s="306" t="s">
        <v>505</v>
      </c>
      <c r="C16" s="305" t="s">
        <v>504</v>
      </c>
      <c r="K16" s="1" t="s">
        <v>503</v>
      </c>
      <c r="L16" s="304">
        <v>0.65</v>
      </c>
    </row>
    <row r="17" spans="1:14" x14ac:dyDescent="0.35">
      <c r="A17" s="1" t="s">
        <v>3</v>
      </c>
      <c r="B17" s="301">
        <v>100</v>
      </c>
      <c r="C17" s="7">
        <v>10</v>
      </c>
      <c r="D17" s="1" t="s">
        <v>10</v>
      </c>
      <c r="F17" s="1" t="s">
        <v>502</v>
      </c>
      <c r="G17" s="9">
        <f>0.0035*B4^2-0.3365*B4+14.391</f>
        <v>10.856999999999999</v>
      </c>
      <c r="H17" s="1" t="s">
        <v>10</v>
      </c>
      <c r="K17" s="1" t="s">
        <v>501</v>
      </c>
      <c r="L17" s="303">
        <v>0.1</v>
      </c>
      <c r="M17" s="1" t="s">
        <v>500</v>
      </c>
    </row>
    <row r="18" spans="1:14" x14ac:dyDescent="0.35">
      <c r="A18" s="1" t="s">
        <v>341</v>
      </c>
      <c r="B18" s="301">
        <v>250</v>
      </c>
      <c r="C18" s="7">
        <f>H9</f>
        <v>183.16689382411619</v>
      </c>
      <c r="D18" s="1" t="s">
        <v>10</v>
      </c>
      <c r="F18" s="1" t="s">
        <v>499</v>
      </c>
      <c r="G18" s="9">
        <f>(0.0035*B4^2-0.3365*B4+14.391)*(B3/1013.25)*(1-EXP(11.8571-3840.7/(B4+273.15)-216961/(B4+273.15)^2)/(B3/1013.25))*(1-(0.000975-0.00001426*B4+0.00000006436*B4^2)*(B3/1013.25))/((1-EXP(11.8571-3840.7/(B4+273.15)-216961/(B4+273.15)^2))*(1-(0.000975-0.00001426*B4+0.00000006436*B4^2)))</f>
        <v>11.038846838456275</v>
      </c>
      <c r="H18" s="1" t="s">
        <v>10</v>
      </c>
      <c r="I18" s="1" t="s">
        <v>498</v>
      </c>
    </row>
    <row r="19" spans="1:14" x14ac:dyDescent="0.35">
      <c r="A19" s="1" t="s">
        <v>5</v>
      </c>
      <c r="B19" s="301">
        <v>30</v>
      </c>
      <c r="C19" s="7">
        <v>1</v>
      </c>
      <c r="D19" s="1" t="s">
        <v>10</v>
      </c>
      <c r="F19" s="1" t="s">
        <v>497</v>
      </c>
      <c r="G19" s="302">
        <f>G12/G18</f>
        <v>0.18117834491847062</v>
      </c>
      <c r="K19" s="300" t="s">
        <v>496</v>
      </c>
    </row>
    <row r="20" spans="1:14" x14ac:dyDescent="0.35">
      <c r="A20" s="1" t="s">
        <v>495</v>
      </c>
      <c r="B20" s="301">
        <v>5</v>
      </c>
      <c r="C20" s="7">
        <v>0</v>
      </c>
      <c r="D20" s="1" t="s">
        <v>10</v>
      </c>
      <c r="K20" s="1" t="s">
        <v>494</v>
      </c>
      <c r="L20" s="9">
        <f>101.325+0.001*(1000*9.81*L5)</f>
        <v>156.18370693275384</v>
      </c>
      <c r="M20" s="1" t="s">
        <v>487</v>
      </c>
    </row>
    <row r="21" spans="1:14" x14ac:dyDescent="0.35">
      <c r="A21" s="1" t="s">
        <v>6</v>
      </c>
      <c r="B21" s="301">
        <v>20</v>
      </c>
      <c r="C21" s="7">
        <v>1.5</v>
      </c>
      <c r="D21" s="1" t="s">
        <v>10</v>
      </c>
      <c r="F21" s="1" t="s">
        <v>493</v>
      </c>
      <c r="G21" s="166">
        <f>C31/((G18-G12)*B11)</f>
        <v>1.612507311171512E-2</v>
      </c>
      <c r="H21" s="1" t="s">
        <v>492</v>
      </c>
      <c r="I21" s="1" t="s">
        <v>491</v>
      </c>
      <c r="K21" s="1" t="s">
        <v>490</v>
      </c>
      <c r="L21" s="168">
        <v>0.05</v>
      </c>
    </row>
    <row r="22" spans="1:14" x14ac:dyDescent="0.35">
      <c r="A22" s="1" t="s">
        <v>242</v>
      </c>
      <c r="B22" s="301">
        <v>200</v>
      </c>
      <c r="C22" s="7">
        <v>75</v>
      </c>
      <c r="D22" s="1" t="s">
        <v>10</v>
      </c>
      <c r="F22" s="1" t="s">
        <v>489</v>
      </c>
      <c r="G22" s="296">
        <f>G21*G18*B11*1.024^(B4-20)</f>
        <v>1336.2028097741872</v>
      </c>
      <c r="H22" s="1" t="s">
        <v>462</v>
      </c>
      <c r="K22" s="1" t="s">
        <v>488</v>
      </c>
      <c r="L22" s="9">
        <f>L20*(1+L21)</f>
        <v>163.99289227939153</v>
      </c>
      <c r="M22" s="1" t="s">
        <v>487</v>
      </c>
    </row>
    <row r="23" spans="1:14" x14ac:dyDescent="0.35">
      <c r="F23" s="1" t="s">
        <v>486</v>
      </c>
      <c r="G23" s="296">
        <f>G22/(G15*B10*0.228)</f>
        <v>17825.455219735541</v>
      </c>
      <c r="H23" s="1" t="s">
        <v>439</v>
      </c>
      <c r="K23" s="1" t="s">
        <v>485</v>
      </c>
      <c r="L23" s="166">
        <f>L8/L9</f>
        <v>1.4025069637883008</v>
      </c>
    </row>
    <row r="24" spans="1:14" x14ac:dyDescent="0.35">
      <c r="A24" s="1" t="s">
        <v>484</v>
      </c>
      <c r="B24" s="296">
        <f>1000*C28*24/(8*B28)</f>
        <v>78299.999999999985</v>
      </c>
      <c r="D24" s="1" t="s">
        <v>483</v>
      </c>
      <c r="G24" s="296">
        <f>G23/B5</f>
        <v>13711.8886305658</v>
      </c>
      <c r="H24" s="1" t="s">
        <v>59</v>
      </c>
    </row>
    <row r="25" spans="1:14" x14ac:dyDescent="0.35">
      <c r="K25" s="300" t="s">
        <v>480</v>
      </c>
    </row>
    <row r="26" spans="1:14" x14ac:dyDescent="0.35">
      <c r="B26" s="299" t="s">
        <v>479</v>
      </c>
      <c r="C26" s="299" t="s">
        <v>478</v>
      </c>
      <c r="K26" s="1" t="s">
        <v>477</v>
      </c>
      <c r="L26" s="162">
        <f>1/(L23-1)*L13*L11*((L22/L13)^((L23-1)/L23)-1)</f>
        <v>139.17925271532192</v>
      </c>
      <c r="M26" s="1" t="s">
        <v>81</v>
      </c>
    </row>
    <row r="27" spans="1:14" x14ac:dyDescent="0.35">
      <c r="A27" s="1" t="s">
        <v>476</v>
      </c>
      <c r="B27" s="298">
        <v>1</v>
      </c>
      <c r="C27" s="7">
        <f>B27*(B17-C17)*$B$15*3600/1000000</f>
        <v>81</v>
      </c>
      <c r="D27" s="1" t="s">
        <v>462</v>
      </c>
      <c r="F27" s="297" t="s">
        <v>475</v>
      </c>
      <c r="K27" s="1" t="s">
        <v>474</v>
      </c>
      <c r="L27" s="162">
        <f>L26/(L15*L16)</f>
        <v>225.391502372991</v>
      </c>
      <c r="M27" s="1" t="s">
        <v>81</v>
      </c>
    </row>
    <row r="28" spans="1:14" x14ac:dyDescent="0.35">
      <c r="A28" s="1" t="s">
        <v>473</v>
      </c>
      <c r="B28" s="298">
        <v>4.5999999999999996</v>
      </c>
      <c r="C28" s="7">
        <f>B28*(B19-C19)*$B$15*3600/1000000</f>
        <v>120.05999999999997</v>
      </c>
      <c r="D28" s="1" t="s">
        <v>462</v>
      </c>
      <c r="F28" s="1" t="s">
        <v>472</v>
      </c>
      <c r="G28" s="162">
        <v>4000</v>
      </c>
      <c r="H28" s="1" t="s">
        <v>28</v>
      </c>
      <c r="I28" s="1" t="s">
        <v>471</v>
      </c>
      <c r="K28" s="1" t="s">
        <v>470</v>
      </c>
      <c r="L28" s="1">
        <v>3</v>
      </c>
      <c r="M28" s="1" t="s">
        <v>469</v>
      </c>
    </row>
    <row r="29" spans="1:14" x14ac:dyDescent="0.35">
      <c r="A29" s="1" t="s">
        <v>468</v>
      </c>
      <c r="B29" s="3">
        <v>-2.83</v>
      </c>
      <c r="C29" s="7">
        <f>B29*(B20-C20)*$B$15*3600/1000000</f>
        <v>-12.734999999999999</v>
      </c>
      <c r="D29" s="1" t="s">
        <v>462</v>
      </c>
      <c r="F29" s="1" t="s">
        <v>467</v>
      </c>
      <c r="G29" s="162">
        <v>601.71038543225495</v>
      </c>
      <c r="H29" s="1" t="s">
        <v>45</v>
      </c>
      <c r="I29" s="1" t="s">
        <v>553</v>
      </c>
      <c r="K29" s="1" t="s">
        <v>466</v>
      </c>
      <c r="L29" s="162">
        <f>L27/1.75</f>
        <v>128.79514421313772</v>
      </c>
      <c r="M29" s="1" t="s">
        <v>81</v>
      </c>
      <c r="N29" s="162"/>
    </row>
    <row r="30" spans="1:14" x14ac:dyDescent="0.35">
      <c r="A30" s="1" t="s">
        <v>465</v>
      </c>
      <c r="B30" s="298">
        <v>0.05</v>
      </c>
      <c r="C30" s="7">
        <f>B30*B12*B11*0.001</f>
        <v>1134.375</v>
      </c>
      <c r="D30" s="1" t="s">
        <v>462</v>
      </c>
      <c r="F30" s="1" t="s">
        <v>224</v>
      </c>
      <c r="G30" s="9">
        <f>(B11*B12*0.001)/(G28*G29*0.001)</f>
        <v>9.4262541204527412</v>
      </c>
      <c r="H30" s="1" t="s">
        <v>194</v>
      </c>
      <c r="I30" s="1" t="s">
        <v>464</v>
      </c>
      <c r="K30" s="1" t="s">
        <v>482</v>
      </c>
      <c r="L30" s="9">
        <f>G22*1.024^(B4-20)/L27</f>
        <v>4.9038275491637897</v>
      </c>
      <c r="M30" s="1" t="s">
        <v>481</v>
      </c>
    </row>
    <row r="31" spans="1:14" x14ac:dyDescent="0.35">
      <c r="A31" s="1" t="s">
        <v>463</v>
      </c>
      <c r="B31" s="298"/>
      <c r="C31" s="7">
        <f>SUM(C27:C30)</f>
        <v>1322.7</v>
      </c>
      <c r="D31" s="1" t="s">
        <v>462</v>
      </c>
      <c r="F31" s="1" t="s">
        <v>461</v>
      </c>
      <c r="G31" s="9">
        <f>B11/(B15*3600*0.001)</f>
        <v>10.083333333333334</v>
      </c>
      <c r="H31" s="1" t="s">
        <v>460</v>
      </c>
      <c r="I31" t="s">
        <v>459</v>
      </c>
      <c r="K31" s="1" t="s">
        <v>458</v>
      </c>
      <c r="L31" s="166">
        <f>ROUNDUP(L22/L13,1)</f>
        <v>1.6</v>
      </c>
    </row>
    <row r="32" spans="1:14" x14ac:dyDescent="0.35">
      <c r="K32" s="1" t="s">
        <v>457</v>
      </c>
      <c r="L32" s="162">
        <f>(L22-L13)*10</f>
        <v>609.92892279391526</v>
      </c>
      <c r="M32" s="1" t="s">
        <v>456</v>
      </c>
    </row>
    <row r="33" spans="1:13" x14ac:dyDescent="0.35">
      <c r="A33" s="297" t="s">
        <v>455</v>
      </c>
      <c r="F33" s="297" t="s">
        <v>454</v>
      </c>
    </row>
    <row r="34" spans="1:13" x14ac:dyDescent="0.35">
      <c r="A34" s="1" t="s">
        <v>453</v>
      </c>
      <c r="B34" s="1">
        <f>(B21-C21)*B15/1000</f>
        <v>4.625</v>
      </c>
      <c r="C34" s="1" t="s">
        <v>439</v>
      </c>
      <c r="D34" s="1" t="s">
        <v>452</v>
      </c>
      <c r="F34" s="1" t="s">
        <v>199</v>
      </c>
      <c r="G34" s="166">
        <f>(C27/B27)*24/G40</f>
        <v>8.5685950339745603E-2</v>
      </c>
      <c r="H34" s="1" t="s">
        <v>451</v>
      </c>
      <c r="K34" s="1" t="s">
        <v>450</v>
      </c>
      <c r="L34" s="296">
        <f>L27*L14</f>
        <v>1974429.5607874012</v>
      </c>
      <c r="M34" s="1" t="s">
        <v>449</v>
      </c>
    </row>
    <row r="35" spans="1:13" x14ac:dyDescent="0.35">
      <c r="A35" s="1" t="s">
        <v>448</v>
      </c>
      <c r="B35" s="10">
        <v>0.1</v>
      </c>
      <c r="C35" s="1" t="s">
        <v>447</v>
      </c>
      <c r="L35" s="166">
        <f>L34/1000000</f>
        <v>1.9744295607874012</v>
      </c>
      <c r="M35" s="1" t="s">
        <v>446</v>
      </c>
    </row>
    <row r="36" spans="1:13" x14ac:dyDescent="0.35">
      <c r="B36" s="9">
        <f>(399.88/94.9714)*0.5*B34*(1+B35)</f>
        <v>10.710537593422863</v>
      </c>
      <c r="C36" s="1" t="s">
        <v>439</v>
      </c>
      <c r="F36" s="1" t="s">
        <v>192</v>
      </c>
      <c r="G36" s="162">
        <f>+((1-0.08-0.04)*2.5*(C27*24/B27)*0.45*G30)/(1+(0.24*1.029^(B4-20)*G30))</f>
        <v>6479.5011499799011</v>
      </c>
      <c r="H36" s="1" t="s">
        <v>189</v>
      </c>
      <c r="K36" s="1" t="s">
        <v>445</v>
      </c>
      <c r="L36" s="295">
        <f>L34*L17</f>
        <v>197442.95607874013</v>
      </c>
    </row>
    <row r="37" spans="1:13" x14ac:dyDescent="0.35">
      <c r="A37" s="1" t="s">
        <v>444</v>
      </c>
      <c r="B37" s="162">
        <f>B36*2.3</f>
        <v>24.634236464872583</v>
      </c>
      <c r="C37" s="1" t="s">
        <v>439</v>
      </c>
      <c r="F37" s="1" t="s">
        <v>191</v>
      </c>
      <c r="G37" s="162">
        <f>+(0.2*(0.24*1.029^(B4-20))*G30*G36)</f>
        <v>2332.3780960157255</v>
      </c>
      <c r="H37" s="1" t="s">
        <v>189</v>
      </c>
    </row>
    <row r="38" spans="1:13" x14ac:dyDescent="0.35">
      <c r="A38" s="1" t="s">
        <v>443</v>
      </c>
      <c r="B38" s="162">
        <f>B37*G30*24</f>
        <v>5573.0057515490962</v>
      </c>
      <c r="C38" s="1" t="s">
        <v>13</v>
      </c>
      <c r="D38" s="1" t="s">
        <v>442</v>
      </c>
      <c r="F38" s="1" t="s">
        <v>190</v>
      </c>
      <c r="G38" s="162">
        <f>G30*2.5*(C27*24/B27)*0.13/1.48</f>
        <v>4023.9914549338118</v>
      </c>
      <c r="H38" s="1" t="s">
        <v>189</v>
      </c>
    </row>
    <row r="39" spans="1:13" x14ac:dyDescent="0.35">
      <c r="F39" s="1" t="s">
        <v>188</v>
      </c>
      <c r="G39" s="162">
        <f>B38</f>
        <v>5573.0057515490962</v>
      </c>
      <c r="H39" s="1" t="s">
        <v>170</v>
      </c>
    </row>
    <row r="40" spans="1:13" x14ac:dyDescent="0.35">
      <c r="A40" s="1" t="s">
        <v>441</v>
      </c>
      <c r="B40" s="168">
        <v>0.125</v>
      </c>
      <c r="D40" s="1" t="s">
        <v>440</v>
      </c>
      <c r="F40" s="1" t="s">
        <v>186</v>
      </c>
      <c r="G40" s="162">
        <f>+(G36+G37+G38)/0.75+G39</f>
        <v>22687.500019455016</v>
      </c>
      <c r="H40" s="1" t="s">
        <v>185</v>
      </c>
    </row>
    <row r="41" spans="1:13" x14ac:dyDescent="0.35">
      <c r="B41" s="162">
        <f>B36/B40</f>
        <v>85.684300747382906</v>
      </c>
      <c r="C41" s="1" t="s">
        <v>439</v>
      </c>
    </row>
    <row r="42" spans="1:13" x14ac:dyDescent="0.35">
      <c r="A42" s="1" t="s">
        <v>592</v>
      </c>
      <c r="B42" s="1">
        <v>1.5</v>
      </c>
      <c r="F42" s="1" t="s">
        <v>183</v>
      </c>
      <c r="G42" s="162">
        <f>(G40)*1000/B11</f>
        <v>2500.0000021438032</v>
      </c>
      <c r="H42" s="1" t="s">
        <v>28</v>
      </c>
      <c r="I42" s="162"/>
    </row>
    <row r="43" spans="1:13" x14ac:dyDescent="0.35">
      <c r="A43" s="1" t="s">
        <v>593</v>
      </c>
      <c r="B43" s="162">
        <f>B42*B41</f>
        <v>128.52645112107436</v>
      </c>
    </row>
    <row r="44" spans="1:13" x14ac:dyDescent="0.35">
      <c r="A44" s="1" t="s">
        <v>438</v>
      </c>
      <c r="B44" s="1">
        <v>1500</v>
      </c>
      <c r="C44" s="1" t="s">
        <v>49</v>
      </c>
      <c r="F44" s="1" t="s">
        <v>435</v>
      </c>
      <c r="G44" s="162">
        <f>G40/G30</f>
        <v>2406.8415437929375</v>
      </c>
      <c r="H44" s="1" t="s">
        <v>160</v>
      </c>
    </row>
    <row r="45" spans="1:13" x14ac:dyDescent="0.35">
      <c r="A45" s="1" t="s">
        <v>437</v>
      </c>
      <c r="B45" s="162">
        <f>1000*24*B43/B44</f>
        <v>2056.4232179371897</v>
      </c>
      <c r="C45" s="1" t="s">
        <v>436</v>
      </c>
      <c r="G45" s="162">
        <f>G44/(G28*0.001)</f>
        <v>601.71038594823438</v>
      </c>
      <c r="H45" s="1" t="s">
        <v>45</v>
      </c>
      <c r="I45" s="166">
        <f>G29-G45</f>
        <v>-5.1597942274383968E-7</v>
      </c>
    </row>
    <row r="46" spans="1:13" x14ac:dyDescent="0.35">
      <c r="G46" s="168"/>
    </row>
    <row r="47" spans="1:13" x14ac:dyDescent="0.35">
      <c r="A47" s="1" t="s">
        <v>434</v>
      </c>
      <c r="B47" s="294">
        <v>20</v>
      </c>
      <c r="C47" s="1" t="s">
        <v>590</v>
      </c>
      <c r="D47" s="1" t="s">
        <v>591</v>
      </c>
    </row>
    <row r="48" spans="1:13" x14ac:dyDescent="0.35">
      <c r="A48" s="1" t="s">
        <v>433</v>
      </c>
      <c r="B48" s="293">
        <f>B47*B43*0.001*24*365</f>
        <v>22517.834236412229</v>
      </c>
      <c r="C48" s="1" t="s">
        <v>432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pageSetUpPr fitToPage="1"/>
  </sheetPr>
  <dimension ref="A1:P54"/>
  <sheetViews>
    <sheetView zoomScale="80" zoomScaleNormal="80" workbookViewId="0">
      <selection activeCell="B19" sqref="B19"/>
    </sheetView>
  </sheetViews>
  <sheetFormatPr defaultColWidth="9.1796875" defaultRowHeight="14.5" x14ac:dyDescent="0.35"/>
  <cols>
    <col min="1" max="1" width="44.26953125" style="349" bestFit="1" customWidth="1"/>
    <col min="2" max="2" width="18" style="349" bestFit="1" customWidth="1"/>
    <col min="3" max="3" width="13.81640625" style="349" bestFit="1" customWidth="1"/>
    <col min="4" max="4" width="11.54296875" style="349" bestFit="1" customWidth="1"/>
    <col min="5" max="5" width="3.54296875" style="349" customWidth="1"/>
    <col min="6" max="6" width="44.26953125" style="349" bestFit="1" customWidth="1"/>
    <col min="7" max="8" width="14.453125" style="349" customWidth="1"/>
    <col min="9" max="10" width="14.26953125" style="349" customWidth="1"/>
    <col min="11" max="14" width="9.1796875" style="349"/>
    <col min="15" max="15" width="25.7265625" style="349" bestFit="1" customWidth="1"/>
    <col min="16" max="16" width="26.453125" style="349" bestFit="1" customWidth="1"/>
    <col min="17" max="17" width="27.81640625" style="349" bestFit="1" customWidth="1"/>
    <col min="18" max="18" width="27.1796875" style="349" bestFit="1" customWidth="1"/>
    <col min="19" max="19" width="19.453125" style="349" bestFit="1" customWidth="1"/>
    <col min="20" max="20" width="27.81640625" style="349" bestFit="1" customWidth="1"/>
    <col min="21" max="21" width="17.81640625" style="349" bestFit="1" customWidth="1"/>
    <col min="22" max="16384" width="9.1796875" style="349"/>
  </cols>
  <sheetData>
    <row r="1" spans="1:15" x14ac:dyDescent="0.35">
      <c r="A1" s="348" t="s">
        <v>594</v>
      </c>
    </row>
    <row r="2" spans="1:15" x14ac:dyDescent="0.35">
      <c r="A2" s="316" t="s">
        <v>616</v>
      </c>
      <c r="B2" s="373" t="s">
        <v>617</v>
      </c>
      <c r="C2" s="374"/>
    </row>
    <row r="3" spans="1:15" x14ac:dyDescent="0.35">
      <c r="A3" s="316" t="s">
        <v>618</v>
      </c>
      <c r="B3" s="373" t="s">
        <v>619</v>
      </c>
      <c r="C3" s="374"/>
    </row>
    <row r="4" spans="1:15" x14ac:dyDescent="0.35">
      <c r="A4" s="316" t="s">
        <v>579</v>
      </c>
      <c r="B4" s="373">
        <v>42877</v>
      </c>
      <c r="C4" s="374"/>
    </row>
    <row r="5" spans="1:15" ht="15" thickBot="1" x14ac:dyDescent="0.4">
      <c r="A5" s="317" t="s">
        <v>578</v>
      </c>
      <c r="B5" s="375" t="s">
        <v>601</v>
      </c>
      <c r="C5" s="376"/>
    </row>
    <row r="6" spans="1:15" x14ac:dyDescent="0.35">
      <c r="A6" s="325" t="s">
        <v>577</v>
      </c>
      <c r="B6" s="326"/>
      <c r="C6" s="327"/>
      <c r="F6" s="328" t="s">
        <v>576</v>
      </c>
      <c r="G6" s="347" t="s">
        <v>621</v>
      </c>
      <c r="H6" s="336" t="s">
        <v>622</v>
      </c>
      <c r="I6" s="350"/>
      <c r="J6" s="350"/>
      <c r="K6" s="350"/>
      <c r="L6" s="350"/>
      <c r="O6" s="351"/>
    </row>
    <row r="7" spans="1:15" ht="16.5" x14ac:dyDescent="0.35">
      <c r="A7" s="318" t="s">
        <v>575</v>
      </c>
      <c r="B7" s="319">
        <v>19608</v>
      </c>
      <c r="C7" s="318" t="s">
        <v>602</v>
      </c>
      <c r="F7" s="318" t="s">
        <v>574</v>
      </c>
      <c r="G7" s="343">
        <v>6000</v>
      </c>
      <c r="H7" s="343">
        <f>7552.8</f>
        <v>7552.8</v>
      </c>
      <c r="I7" s="350"/>
      <c r="J7" s="350"/>
      <c r="K7" s="350"/>
      <c r="L7" s="350"/>
    </row>
    <row r="8" spans="1:15" ht="16.5" x14ac:dyDescent="0.35">
      <c r="A8" s="318" t="s">
        <v>603</v>
      </c>
      <c r="B8" s="321">
        <v>5.25</v>
      </c>
      <c r="C8" s="318" t="s">
        <v>595</v>
      </c>
      <c r="F8" s="318" t="s">
        <v>623</v>
      </c>
      <c r="G8" s="343">
        <f>7490.16+177.26+205.01</f>
        <v>7872.43</v>
      </c>
      <c r="H8" s="343">
        <f>7809.84+177.26+209.81</f>
        <v>8196.91</v>
      </c>
      <c r="I8" s="350"/>
      <c r="J8" s="350"/>
      <c r="K8" s="350"/>
      <c r="L8" s="350"/>
    </row>
    <row r="9" spans="1:15" ht="16.5" x14ac:dyDescent="0.35">
      <c r="A9" s="318" t="s">
        <v>605</v>
      </c>
      <c r="B9" s="321">
        <v>2</v>
      </c>
      <c r="C9" s="318" t="s">
        <v>28</v>
      </c>
      <c r="F9" s="318" t="s">
        <v>573</v>
      </c>
      <c r="G9" s="343">
        <f>373.2+259.2</f>
        <v>632.4</v>
      </c>
      <c r="H9" s="343">
        <f>373.2+259.2</f>
        <v>632.4</v>
      </c>
      <c r="I9" s="350"/>
      <c r="J9" s="350"/>
      <c r="K9" s="350"/>
      <c r="L9" s="350"/>
      <c r="O9" s="352"/>
    </row>
    <row r="10" spans="1:15" x14ac:dyDescent="0.35">
      <c r="A10" s="318" t="s">
        <v>572</v>
      </c>
      <c r="B10" s="321">
        <v>12</v>
      </c>
      <c r="C10" s="318" t="s">
        <v>28</v>
      </c>
      <c r="F10" s="318" t="s">
        <v>620</v>
      </c>
      <c r="G10" s="343">
        <f>1651.9</f>
        <v>1651.9</v>
      </c>
      <c r="H10" s="343">
        <v>2080.3000000000002</v>
      </c>
      <c r="I10" s="350"/>
      <c r="J10" s="350"/>
      <c r="K10" s="350"/>
      <c r="L10" s="350"/>
    </row>
    <row r="11" spans="1:15" ht="16.5" x14ac:dyDescent="0.35">
      <c r="A11" s="318" t="s">
        <v>606</v>
      </c>
      <c r="B11" s="321">
        <v>0.92</v>
      </c>
      <c r="C11" s="318" t="s">
        <v>595</v>
      </c>
      <c r="D11" s="350"/>
      <c r="E11" s="350"/>
      <c r="F11" s="318" t="s">
        <v>624</v>
      </c>
      <c r="G11" s="343">
        <v>0</v>
      </c>
      <c r="H11" s="333">
        <v>0</v>
      </c>
      <c r="I11" s="350" t="s">
        <v>625</v>
      </c>
      <c r="J11" s="350"/>
      <c r="K11" s="350"/>
      <c r="L11" s="350"/>
    </row>
    <row r="12" spans="1:15" x14ac:dyDescent="0.35">
      <c r="C12" s="353"/>
      <c r="D12" s="350"/>
      <c r="E12" s="350"/>
      <c r="F12" s="335" t="s">
        <v>60</v>
      </c>
      <c r="G12" s="377">
        <f>SUM(G7:H11)</f>
        <v>34619.140000000007</v>
      </c>
      <c r="H12" s="377"/>
      <c r="I12" s="350"/>
      <c r="J12" s="350"/>
      <c r="K12" s="350"/>
      <c r="L12" s="350"/>
    </row>
    <row r="13" spans="1:15" x14ac:dyDescent="0.35">
      <c r="A13" s="318" t="s">
        <v>599</v>
      </c>
      <c r="B13" s="321" t="s">
        <v>612</v>
      </c>
      <c r="C13" s="354"/>
      <c r="D13" s="350"/>
      <c r="E13" s="350"/>
      <c r="F13" s="350"/>
      <c r="G13" s="355"/>
      <c r="H13" s="350"/>
      <c r="I13" s="350"/>
      <c r="J13" s="350"/>
      <c r="K13" s="350"/>
      <c r="L13" s="350"/>
    </row>
    <row r="14" spans="1:15" x14ac:dyDescent="0.35">
      <c r="C14" s="353"/>
      <c r="D14" s="350"/>
      <c r="E14" s="350"/>
      <c r="F14" s="328" t="s">
        <v>557</v>
      </c>
      <c r="G14" s="344" t="str">
        <f>+'P-RTC Model'!B5&amp;"/t"</f>
        <v>£/t</v>
      </c>
      <c r="H14" s="318"/>
      <c r="I14" s="350"/>
      <c r="J14" s="350"/>
      <c r="K14" s="350"/>
      <c r="L14" s="350"/>
    </row>
    <row r="15" spans="1:15" x14ac:dyDescent="0.35">
      <c r="A15" s="328" t="s">
        <v>571</v>
      </c>
      <c r="B15" s="320"/>
      <c r="C15" s="318"/>
      <c r="D15" s="350"/>
      <c r="E15" s="350"/>
      <c r="F15" s="318" t="s">
        <v>556</v>
      </c>
      <c r="G15" s="343">
        <v>20</v>
      </c>
      <c r="H15" s="323"/>
      <c r="I15" s="350"/>
      <c r="J15" s="350"/>
      <c r="K15" s="350"/>
      <c r="L15" s="350"/>
    </row>
    <row r="16" spans="1:15" x14ac:dyDescent="0.35">
      <c r="A16" s="318" t="s">
        <v>569</v>
      </c>
      <c r="B16" s="329">
        <v>12.5</v>
      </c>
      <c r="C16" s="318" t="s">
        <v>55</v>
      </c>
      <c r="D16" s="350"/>
      <c r="E16" s="350"/>
      <c r="F16" s="318" t="s">
        <v>555</v>
      </c>
      <c r="G16" s="343">
        <v>0</v>
      </c>
      <c r="H16" s="323"/>
      <c r="I16" s="350"/>
      <c r="J16" s="350"/>
      <c r="K16" s="350"/>
      <c r="L16" s="350"/>
    </row>
    <row r="17" spans="1:16" x14ac:dyDescent="0.35">
      <c r="A17" s="318" t="s">
        <v>567</v>
      </c>
      <c r="B17" s="329">
        <v>0</v>
      </c>
      <c r="C17" s="318" t="s">
        <v>55</v>
      </c>
      <c r="D17" s="350"/>
      <c r="E17" s="350"/>
      <c r="F17" s="318" t="s">
        <v>554</v>
      </c>
      <c r="G17" s="343">
        <v>0</v>
      </c>
      <c r="H17" s="323"/>
      <c r="I17" s="350"/>
      <c r="J17" s="350"/>
      <c r="K17" s="350"/>
      <c r="L17" s="350"/>
    </row>
    <row r="18" spans="1:16" x14ac:dyDescent="0.35">
      <c r="A18" s="318" t="s">
        <v>565</v>
      </c>
      <c r="B18" s="330">
        <f>B46</f>
        <v>3013.7327414156907</v>
      </c>
      <c r="C18" s="318" t="s">
        <v>564</v>
      </c>
      <c r="D18" s="350"/>
      <c r="E18" s="350"/>
      <c r="F18" s="350"/>
      <c r="G18" s="355"/>
      <c r="H18" s="350"/>
      <c r="I18" s="350"/>
      <c r="J18" s="350"/>
      <c r="K18" s="350"/>
      <c r="L18" s="350"/>
    </row>
    <row r="19" spans="1:16" x14ac:dyDescent="0.35">
      <c r="C19" s="353"/>
      <c r="D19" s="350"/>
      <c r="E19" s="350"/>
      <c r="F19" s="328" t="s">
        <v>570</v>
      </c>
      <c r="G19" s="344" t="str">
        <f>+'P-RTC Model'!B5&amp;"/a"</f>
        <v>£/a</v>
      </c>
      <c r="H19" s="318"/>
      <c r="I19" s="350"/>
      <c r="J19" s="350"/>
      <c r="K19" s="350"/>
      <c r="L19" s="350"/>
    </row>
    <row r="20" spans="1:16" x14ac:dyDescent="0.35">
      <c r="A20" s="328" t="s">
        <v>562</v>
      </c>
      <c r="B20" s="320"/>
      <c r="C20" s="318"/>
      <c r="D20" s="350"/>
      <c r="E20" s="350"/>
      <c r="F20" s="318" t="s">
        <v>568</v>
      </c>
      <c r="G20" s="343">
        <v>390</v>
      </c>
      <c r="H20" s="318"/>
      <c r="I20" s="350"/>
      <c r="J20" s="350"/>
      <c r="K20" s="350"/>
      <c r="L20" s="350"/>
      <c r="O20" s="356"/>
      <c r="P20" s="357"/>
    </row>
    <row r="21" spans="1:16" ht="16.5" x14ac:dyDescent="0.35">
      <c r="A21" s="318" t="s">
        <v>608</v>
      </c>
      <c r="B21" s="321">
        <v>1.5</v>
      </c>
      <c r="C21" s="318" t="s">
        <v>28</v>
      </c>
      <c r="D21" s="350"/>
      <c r="E21" s="350"/>
      <c r="F21" s="318" t="s">
        <v>566</v>
      </c>
      <c r="G21" s="343">
        <v>540</v>
      </c>
      <c r="H21" s="318"/>
      <c r="I21" s="350"/>
      <c r="J21" s="350"/>
      <c r="K21" s="350"/>
      <c r="L21" s="350"/>
      <c r="O21" s="358"/>
      <c r="P21" s="357"/>
    </row>
    <row r="22" spans="1:16" ht="16.5" x14ac:dyDescent="0.35">
      <c r="A22" s="318" t="s">
        <v>609</v>
      </c>
      <c r="B22" s="331">
        <v>17</v>
      </c>
      <c r="C22" s="318" t="s">
        <v>55</v>
      </c>
      <c r="D22" s="350"/>
      <c r="E22" s="350"/>
      <c r="F22" s="335" t="s">
        <v>563</v>
      </c>
      <c r="G22" s="340">
        <f>SUM(G20:G21)</f>
        <v>930</v>
      </c>
      <c r="H22" s="335"/>
      <c r="I22" s="350"/>
      <c r="J22" s="350"/>
      <c r="K22" s="350"/>
      <c r="L22" s="350"/>
      <c r="O22" s="358"/>
      <c r="P22" s="357"/>
    </row>
    <row r="23" spans="1:16" ht="16.5" x14ac:dyDescent="0.35">
      <c r="A23" s="318" t="s">
        <v>610</v>
      </c>
      <c r="B23" s="332">
        <f>1%*120/128</f>
        <v>9.3749999999999997E-3</v>
      </c>
      <c r="C23" s="318" t="s">
        <v>55</v>
      </c>
      <c r="D23" s="350"/>
      <c r="E23" s="350"/>
      <c r="F23" s="350"/>
      <c r="G23" s="350"/>
      <c r="H23" s="350"/>
      <c r="I23" s="350"/>
      <c r="J23" s="350"/>
      <c r="K23" s="350"/>
      <c r="L23" s="350"/>
      <c r="O23" s="358"/>
      <c r="P23" s="358"/>
    </row>
    <row r="24" spans="1:16" x14ac:dyDescent="0.35">
      <c r="A24" s="350"/>
      <c r="B24" s="350"/>
      <c r="C24" s="354"/>
      <c r="D24" s="350"/>
      <c r="E24" s="350"/>
      <c r="F24" s="335" t="s">
        <v>580</v>
      </c>
      <c r="G24" s="336" t="s">
        <v>598</v>
      </c>
      <c r="H24" s="337" t="s">
        <v>574</v>
      </c>
      <c r="I24" s="337" t="s">
        <v>560</v>
      </c>
      <c r="J24" s="337" t="s">
        <v>560</v>
      </c>
      <c r="M24" s="359"/>
      <c r="O24" s="360"/>
      <c r="P24" s="360"/>
    </row>
    <row r="25" spans="1:16" x14ac:dyDescent="0.35">
      <c r="A25" s="318" t="s">
        <v>587</v>
      </c>
      <c r="B25" s="322">
        <f>B8*(100-B22)/100</f>
        <v>4.3574999999999999</v>
      </c>
      <c r="C25" s="318" t="s">
        <v>600</v>
      </c>
      <c r="D25" s="350"/>
      <c r="E25" s="350"/>
      <c r="F25" s="335"/>
      <c r="G25" s="336" t="str">
        <f>'P-RTC Model'!$B$5&amp;"/a"</f>
        <v>£/a</v>
      </c>
      <c r="H25" s="337" t="str">
        <f>'P-RTC Model'!$B$5&amp;"/a"</f>
        <v>£/a</v>
      </c>
      <c r="I25" s="337" t="str">
        <f>'P-RTC Model'!$B$5&amp;"/a"</f>
        <v>£/a</v>
      </c>
      <c r="J25" s="337" t="s">
        <v>55</v>
      </c>
      <c r="M25" s="359"/>
      <c r="O25" s="361"/>
      <c r="P25" s="361"/>
    </row>
    <row r="26" spans="1:16" x14ac:dyDescent="0.35">
      <c r="A26" s="350"/>
      <c r="B26" s="322">
        <f>B25*B7/1000</f>
        <v>85.441860000000005</v>
      </c>
      <c r="C26" s="354" t="s">
        <v>47</v>
      </c>
      <c r="E26" s="350"/>
      <c r="F26" s="318" t="s">
        <v>556</v>
      </c>
      <c r="G26" s="324">
        <f>'P-RTC Model'!B46*365*'P-RTC Model'!G15/1000</f>
        <v>22000.249012334541</v>
      </c>
      <c r="H26" s="324">
        <f>'P-RTC Model'!C46*365*'P-RTC Model'!G15/1000</f>
        <v>15320.407908122281</v>
      </c>
      <c r="I26" s="324">
        <f>+G26-H26</f>
        <v>6679.8411042122607</v>
      </c>
      <c r="J26" s="339">
        <f>IF(G26&gt;0,(1-H26/G26),0)</f>
        <v>0.30362570443939874</v>
      </c>
      <c r="M26" s="359"/>
      <c r="O26" s="358"/>
      <c r="P26" s="357"/>
    </row>
    <row r="27" spans="1:16" ht="16.5" x14ac:dyDescent="0.35">
      <c r="A27" s="318" t="s">
        <v>607</v>
      </c>
      <c r="B27" s="322">
        <f>B8*(1-B22/100)*B23/100</f>
        <v>4.0851562500000002E-4</v>
      </c>
      <c r="C27" s="318" t="s">
        <v>600</v>
      </c>
      <c r="E27" s="350"/>
      <c r="F27" s="318" t="s">
        <v>555</v>
      </c>
      <c r="G27" s="324">
        <f>365*'P-RTC Model'!B48*'P-RTC Model'!G16/1000</f>
        <v>0</v>
      </c>
      <c r="H27" s="324">
        <f>365*'P-RTC Model'!C48*'P-RTC Model'!G16/1000</f>
        <v>0</v>
      </c>
      <c r="I27" s="324">
        <f>+G27-H27</f>
        <v>0</v>
      </c>
      <c r="J27" s="339">
        <f>IF(G27&gt;0,(1-H27/G27),0)</f>
        <v>0</v>
      </c>
      <c r="M27" s="359"/>
      <c r="O27" s="358"/>
      <c r="P27" s="357"/>
    </row>
    <row r="28" spans="1:16" x14ac:dyDescent="0.35">
      <c r="A28" s="350"/>
      <c r="B28" s="322">
        <f>B27*B7/1000</f>
        <v>8.0101743749999999E-3</v>
      </c>
      <c r="C28" s="354" t="s">
        <v>47</v>
      </c>
      <c r="E28" s="350"/>
      <c r="F28" s="318" t="s">
        <v>554</v>
      </c>
      <c r="G28" s="324">
        <f>365*'P-RTC Model'!B48*'P-RTC Model'!G17/1000</f>
        <v>0</v>
      </c>
      <c r="H28" s="324">
        <f>365*'P-RTC Model'!C48*'P-RTC Model'!G17/1000</f>
        <v>0</v>
      </c>
      <c r="I28" s="324">
        <f>+G28-H28</f>
        <v>0</v>
      </c>
      <c r="J28" s="339">
        <f>IF(G28&gt;0,(1-H28/G28),0)</f>
        <v>0</v>
      </c>
      <c r="M28" s="359"/>
      <c r="O28" s="358"/>
      <c r="P28" s="357"/>
    </row>
    <row r="29" spans="1:16" x14ac:dyDescent="0.35">
      <c r="E29" s="350"/>
      <c r="F29" s="328" t="s">
        <v>60</v>
      </c>
      <c r="G29" s="340">
        <f>SUM(G26:G28)</f>
        <v>22000.249012334541</v>
      </c>
      <c r="H29" s="340">
        <f>SUM(H26:H28)</f>
        <v>15320.407908122281</v>
      </c>
      <c r="I29" s="340">
        <f>+G29-H29</f>
        <v>6679.8411042122607</v>
      </c>
      <c r="J29" s="341">
        <f>IF(G29&gt;0,(1-H29/G29),"")</f>
        <v>0.30362570443939874</v>
      </c>
      <c r="M29" s="359"/>
      <c r="O29" s="358"/>
      <c r="P29" s="358"/>
    </row>
    <row r="30" spans="1:16" x14ac:dyDescent="0.35">
      <c r="A30" s="328" t="s">
        <v>589</v>
      </c>
      <c r="B30" s="336" t="s">
        <v>598</v>
      </c>
      <c r="C30" s="337" t="s">
        <v>588</v>
      </c>
      <c r="D30" s="350"/>
      <c r="E30" s="350"/>
      <c r="F30" s="350"/>
      <c r="G30" s="355"/>
      <c r="H30" s="355"/>
      <c r="I30" s="355"/>
      <c r="J30" s="355"/>
      <c r="K30" s="355"/>
      <c r="L30" s="355"/>
      <c r="M30" s="359"/>
    </row>
    <row r="31" spans="1:16" x14ac:dyDescent="0.35">
      <c r="A31" s="318" t="s">
        <v>586</v>
      </c>
      <c r="B31" s="322">
        <f>0.02 *B10</f>
        <v>0.24</v>
      </c>
      <c r="C31" s="322">
        <f>0.02 *B10</f>
        <v>0.24</v>
      </c>
      <c r="D31" s="318" t="s">
        <v>28</v>
      </c>
      <c r="E31" s="350"/>
      <c r="F31" s="328" t="s">
        <v>561</v>
      </c>
      <c r="G31" s="333"/>
      <c r="H31" s="333"/>
      <c r="I31" s="355"/>
      <c r="J31" s="355"/>
      <c r="K31" s="355"/>
      <c r="L31" s="355"/>
      <c r="M31" s="359"/>
    </row>
    <row r="32" spans="1:16" ht="16.5" x14ac:dyDescent="0.35">
      <c r="A32" s="318" t="s">
        <v>604</v>
      </c>
      <c r="B32" s="322">
        <f>B11-B31</f>
        <v>0.68</v>
      </c>
      <c r="C32" s="322">
        <f>B21-C31</f>
        <v>1.26</v>
      </c>
      <c r="D32" s="318" t="s">
        <v>28</v>
      </c>
      <c r="E32" s="350"/>
      <c r="F32" s="335" t="s">
        <v>560</v>
      </c>
      <c r="G32" s="340">
        <f>'P-RTC Model'!I29</f>
        <v>6679.8411042122607</v>
      </c>
      <c r="H32" s="336" t="str">
        <f>'P-RTC Model'!$B$5&amp;"/a"</f>
        <v>£/a</v>
      </c>
      <c r="I32" s="355"/>
      <c r="J32" s="355"/>
      <c r="K32" s="355"/>
      <c r="L32" s="355"/>
      <c r="M32" s="359"/>
    </row>
    <row r="33" spans="1:16" x14ac:dyDescent="0.35">
      <c r="A33" s="350"/>
      <c r="B33" s="355"/>
      <c r="C33" s="355"/>
      <c r="D33" s="354"/>
      <c r="E33" s="350"/>
      <c r="F33" s="342"/>
      <c r="G33" s="345">
        <f>J29</f>
        <v>0.30362570443939874</v>
      </c>
      <c r="H33" s="336" t="s">
        <v>55</v>
      </c>
      <c r="I33" s="355"/>
      <c r="J33" s="355"/>
      <c r="K33" s="355"/>
      <c r="L33" s="355"/>
      <c r="M33" s="359"/>
      <c r="O33" s="358"/>
      <c r="P33" s="358"/>
    </row>
    <row r="34" spans="1:16" x14ac:dyDescent="0.35">
      <c r="A34" s="362"/>
      <c r="B34" s="363"/>
      <c r="C34" s="355"/>
      <c r="D34" s="354"/>
      <c r="E34" s="350"/>
      <c r="F34" s="335" t="s">
        <v>559</v>
      </c>
      <c r="G34" s="346">
        <f>G12/(G32-G22)</f>
        <v>6.0208863814755613</v>
      </c>
      <c r="H34" s="336" t="s">
        <v>558</v>
      </c>
      <c r="I34" s="355"/>
      <c r="J34" s="355"/>
      <c r="K34" s="355"/>
      <c r="L34" s="355"/>
      <c r="M34" s="359"/>
    </row>
    <row r="35" spans="1:16" x14ac:dyDescent="0.35">
      <c r="A35" s="363" t="s">
        <v>596</v>
      </c>
      <c r="B35" s="363"/>
      <c r="C35" s="355"/>
      <c r="D35" s="354"/>
      <c r="E35" s="350"/>
      <c r="F35" s="350"/>
      <c r="G35" s="350"/>
      <c r="H35" s="350"/>
      <c r="I35" s="350"/>
      <c r="J35" s="350"/>
      <c r="K35" s="350"/>
      <c r="L35" s="350"/>
    </row>
    <row r="36" spans="1:16" x14ac:dyDescent="0.35">
      <c r="A36" s="364" t="s">
        <v>612</v>
      </c>
      <c r="B36" s="365">
        <f>-0.2+1.52*LN(B8/B11)</f>
        <v>2.4472467220247265</v>
      </c>
      <c r="C36" s="365">
        <f>-0.2+1.52*LN(B8/B21)</f>
        <v>1.7041997121129595</v>
      </c>
      <c r="D36" s="354"/>
      <c r="E36" s="350"/>
      <c r="F36" s="366"/>
      <c r="G36" s="367"/>
      <c r="H36" s="350"/>
      <c r="I36" s="350"/>
      <c r="J36" s="350"/>
      <c r="K36" s="350"/>
      <c r="L36" s="350"/>
    </row>
    <row r="37" spans="1:16" x14ac:dyDescent="0.35">
      <c r="A37" s="364" t="s">
        <v>613</v>
      </c>
      <c r="B37" s="365">
        <f>0.34+1.08*LN((B25-B27)/B32)</f>
        <v>2.346064602815555</v>
      </c>
      <c r="C37" s="365">
        <f>0.34+1.08*LN((B25-B27)/C32)</f>
        <v>1.6799484648981544</v>
      </c>
      <c r="D37" s="354"/>
      <c r="E37" s="350"/>
      <c r="F37" s="348"/>
      <c r="G37" s="348"/>
      <c r="H37" s="348"/>
    </row>
    <row r="38" spans="1:16" x14ac:dyDescent="0.35">
      <c r="A38" s="364" t="s">
        <v>614</v>
      </c>
      <c r="B38" s="365">
        <f>0.43+1.31*LN((B25-B27)/B32)</f>
        <v>2.8632820645262753</v>
      </c>
      <c r="C38" s="365">
        <f>0.43+1.31*LN((B25-B27)/C32)</f>
        <v>2.0553078602005388</v>
      </c>
      <c r="D38" s="354"/>
      <c r="E38" s="350"/>
      <c r="G38" s="324"/>
      <c r="H38" s="369"/>
    </row>
    <row r="39" spans="1:16" x14ac:dyDescent="0.35">
      <c r="A39" s="363" t="s">
        <v>597</v>
      </c>
      <c r="B39" s="365"/>
      <c r="C39" s="368"/>
      <c r="D39" s="354"/>
      <c r="E39" s="350"/>
      <c r="G39" s="324"/>
      <c r="H39" s="369"/>
    </row>
    <row r="40" spans="1:16" x14ac:dyDescent="0.35">
      <c r="A40" s="364" t="s">
        <v>612</v>
      </c>
      <c r="B40" s="365">
        <f>B36</f>
        <v>2.4472467220247265</v>
      </c>
      <c r="C40" s="365">
        <f>C36</f>
        <v>1.7041997121129595</v>
      </c>
      <c r="D40" s="354"/>
      <c r="E40" s="350"/>
      <c r="G40" s="324"/>
      <c r="H40" s="369"/>
    </row>
    <row r="41" spans="1:16" x14ac:dyDescent="0.35">
      <c r="A41" s="364" t="s">
        <v>613</v>
      </c>
      <c r="B41" s="365">
        <f>IF(B37&lt;3.1,B37*(1-1.45*2.4^B37/100),0.49*B37+0.9)</f>
        <v>2.0807824061974989</v>
      </c>
      <c r="C41" s="365">
        <f>IF(C37&lt;3.1,C37*(1-1.45*(2.4^C37)/100),0.49*C37+0.9)</f>
        <v>1.5739256688446284</v>
      </c>
      <c r="D41" s="354"/>
      <c r="E41" s="350"/>
      <c r="G41" s="324"/>
      <c r="H41" s="369"/>
    </row>
    <row r="42" spans="1:16" x14ac:dyDescent="0.35">
      <c r="A42" s="364" t="s">
        <v>614</v>
      </c>
      <c r="B42" s="365">
        <f>B38*(1-4.2*B38/100)</f>
        <v>2.5189499289226855</v>
      </c>
      <c r="C42" s="365">
        <f>C38*(1-4.2*C38/100)</f>
        <v>1.8778876633920498</v>
      </c>
      <c r="D42" s="354"/>
      <c r="E42" s="350"/>
      <c r="G42" s="324"/>
      <c r="H42" s="369"/>
    </row>
    <row r="43" spans="1:16" x14ac:dyDescent="0.35">
      <c r="A43" s="350"/>
      <c r="B43" s="355"/>
      <c r="C43" s="355"/>
      <c r="D43" s="354"/>
      <c r="E43" s="350"/>
      <c r="G43" s="324"/>
      <c r="H43" s="369"/>
    </row>
    <row r="44" spans="1:16" x14ac:dyDescent="0.35">
      <c r="A44" s="318" t="s">
        <v>585</v>
      </c>
      <c r="B44" s="338">
        <f>VLOOKUP(B13,A40:C42,2,FALSE)</f>
        <v>2.4472467220247265</v>
      </c>
      <c r="C44" s="338">
        <f>VLOOKUP(B13,A40:C42,3,FALSE)</f>
        <v>1.7041997121129595</v>
      </c>
      <c r="D44" s="334"/>
      <c r="E44" s="350"/>
    </row>
    <row r="45" spans="1:16" ht="16.5" x14ac:dyDescent="0.35">
      <c r="A45" s="318" t="s">
        <v>584</v>
      </c>
      <c r="B45" s="322">
        <f>(B25-B27)*B44/(1.148*B17/100+0.555*B16/100)</f>
        <v>153.69914021907846</v>
      </c>
      <c r="C45" s="322">
        <f>(B25-B27)*C44/(1.148*B17/100+0.555*B16/100)</f>
        <v>107.03213049833084</v>
      </c>
      <c r="D45" s="318" t="s">
        <v>611</v>
      </c>
      <c r="E45" s="350"/>
    </row>
    <row r="46" spans="1:16" x14ac:dyDescent="0.35">
      <c r="A46" s="318"/>
      <c r="B46" s="324">
        <f>B7*B45/1000</f>
        <v>3013.7327414156907</v>
      </c>
      <c r="C46" s="324">
        <f>B7*C45/1000</f>
        <v>2098.6860148112714</v>
      </c>
      <c r="D46" s="318" t="s">
        <v>564</v>
      </c>
      <c r="E46" s="350"/>
    </row>
    <row r="47" spans="1:16" x14ac:dyDescent="0.35">
      <c r="A47" s="318" t="s">
        <v>583</v>
      </c>
      <c r="B47" s="322">
        <f>($B$17*4+$B$16*2.5)/($B$17+$B$16)</f>
        <v>2.5</v>
      </c>
      <c r="C47" s="322">
        <f>($B$17*4+$B$16*2.5)/($B$17+$B$16)</f>
        <v>2.5</v>
      </c>
      <c r="D47" s="318" t="s">
        <v>582</v>
      </c>
      <c r="E47" s="350"/>
    </row>
    <row r="48" spans="1:16" x14ac:dyDescent="0.35">
      <c r="A48" s="318" t="s">
        <v>581</v>
      </c>
      <c r="B48" s="324">
        <f>B47*B46*($B$17/100+$B$16/100)</f>
        <v>941.79148169240329</v>
      </c>
      <c r="C48" s="324">
        <f>C47*C46*($B$17/100+$B$16/100)</f>
        <v>655.83937962852235</v>
      </c>
      <c r="D48" s="318" t="s">
        <v>564</v>
      </c>
      <c r="E48" s="350"/>
    </row>
    <row r="49" spans="1:5" x14ac:dyDescent="0.35">
      <c r="A49" s="318"/>
      <c r="B49" s="324"/>
      <c r="C49" s="324"/>
      <c r="D49" s="323"/>
      <c r="E49" s="350"/>
    </row>
    <row r="50" spans="1:5" x14ac:dyDescent="0.35">
      <c r="A50" s="350"/>
      <c r="B50" s="350"/>
      <c r="C50" s="350"/>
      <c r="D50" s="350"/>
      <c r="E50" s="350"/>
    </row>
    <row r="51" spans="1:5" x14ac:dyDescent="0.35">
      <c r="A51" s="350"/>
      <c r="B51" s="350"/>
      <c r="C51" s="350"/>
      <c r="D51" s="350"/>
      <c r="E51" s="350"/>
    </row>
    <row r="52" spans="1:5" x14ac:dyDescent="0.35">
      <c r="A52" s="350"/>
      <c r="B52" s="350"/>
      <c r="C52" s="350"/>
      <c r="D52" s="350"/>
      <c r="E52" s="350"/>
    </row>
    <row r="53" spans="1:5" x14ac:dyDescent="0.35">
      <c r="A53" s="350"/>
      <c r="B53" s="350"/>
      <c r="C53" s="350"/>
      <c r="D53" s="350"/>
      <c r="E53" s="350"/>
    </row>
    <row r="54" spans="1:5" x14ac:dyDescent="0.35">
      <c r="A54" s="350"/>
      <c r="B54" s="350"/>
      <c r="C54" s="350"/>
      <c r="D54" s="350"/>
    </row>
  </sheetData>
  <mergeCells count="5">
    <mergeCell ref="B4:C4"/>
    <mergeCell ref="B5:C5"/>
    <mergeCell ref="B2:C2"/>
    <mergeCell ref="B3:C3"/>
    <mergeCell ref="G12:H12"/>
  </mergeCells>
  <conditionalFormatting sqref="B11">
    <cfRule type="cellIs" dxfId="2" priority="3" stopIfTrue="1" operator="lessThan">
      <formula>0.5</formula>
    </cfRule>
  </conditionalFormatting>
  <conditionalFormatting sqref="B21">
    <cfRule type="cellIs" dxfId="1" priority="2" stopIfTrue="1" operator="lessThan">
      <formula>0.5</formula>
    </cfRule>
  </conditionalFormatting>
  <conditionalFormatting sqref="B13">
    <cfRule type="cellIs" dxfId="0" priority="1" stopIfTrue="1" operator="lessThan">
      <formula>0.5</formula>
    </cfRule>
  </conditionalFormatting>
  <dataValidations count="1">
    <dataValidation type="list" allowBlank="1" showInputMessage="1" showErrorMessage="1" sqref="B13" xr:uid="{00000000-0002-0000-0400-000000000000}">
      <formula1>$A$36:$A$38</formula1>
    </dataValidation>
  </dataValidations>
  <pageMargins left="0.31496062992125984" right="0.31496062992125984" top="0.35433070866141736" bottom="0.35433070866141736" header="0.19685039370078741" footer="0.19685039370078741"/>
  <pageSetup paperSize="9" scale="73" orientation="landscape" r:id="rId1"/>
  <colBreaks count="1" manualBreakCount="1">
    <brk id="4" max="1048575" man="1"/>
  </colBreaks>
  <ignoredErrors>
    <ignoredError sqref="H7" unlockedFormula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4:I24"/>
  <sheetViews>
    <sheetView workbookViewId="0">
      <selection activeCell="H15" sqref="H15"/>
    </sheetView>
  </sheetViews>
  <sheetFormatPr defaultRowHeight="14.5" x14ac:dyDescent="0.35"/>
  <cols>
    <col min="6" max="6" width="10.81640625" bestFit="1" customWidth="1"/>
  </cols>
  <sheetData>
    <row r="4" spans="1:9" x14ac:dyDescent="0.35">
      <c r="B4" s="166"/>
    </row>
    <row r="6" spans="1:9" x14ac:dyDescent="0.35">
      <c r="A6" t="s">
        <v>632</v>
      </c>
      <c r="B6">
        <v>9000</v>
      </c>
      <c r="C6" t="s">
        <v>14</v>
      </c>
      <c r="E6" t="s">
        <v>631</v>
      </c>
      <c r="F6" t="s">
        <v>224</v>
      </c>
      <c r="G6" t="s">
        <v>630</v>
      </c>
      <c r="H6" t="s">
        <v>629</v>
      </c>
      <c r="I6" t="s">
        <v>628</v>
      </c>
    </row>
    <row r="7" spans="1:9" x14ac:dyDescent="0.35">
      <c r="A7" t="s">
        <v>7</v>
      </c>
      <c r="B7">
        <v>1500</v>
      </c>
      <c r="C7" t="s">
        <v>28</v>
      </c>
      <c r="E7">
        <v>1</v>
      </c>
      <c r="F7">
        <f t="shared" ref="F7:F24" si="0">(0.001*$B$6*$B$7)/(0.001*$B$8*$B$9)</f>
        <v>5.4</v>
      </c>
      <c r="G7">
        <v>20</v>
      </c>
      <c r="H7" s="370">
        <f>SQRT(2)/1.024^(G7-20)*(0.001*$B$6*$B$7)/(0.001*$B$8*$B$9)</f>
        <v>7.6367532368147133</v>
      </c>
      <c r="I7" s="370">
        <f t="shared" ref="I7:I24" si="1">2.13/1.103^(G7-15)*(0.001*$B$6*$B$7)/(0.001*$B$8*$B$9)</f>
        <v>7.0452401440777477</v>
      </c>
    </row>
    <row r="8" spans="1:9" x14ac:dyDescent="0.35">
      <c r="A8" t="s">
        <v>627</v>
      </c>
      <c r="B8">
        <v>5000</v>
      </c>
      <c r="C8" t="s">
        <v>28</v>
      </c>
      <c r="E8">
        <v>2</v>
      </c>
      <c r="F8">
        <f t="shared" si="0"/>
        <v>5.4</v>
      </c>
      <c r="G8">
        <v>19</v>
      </c>
      <c r="H8" s="370">
        <f t="shared" ref="H8:H24" si="2">SQRT(2)/1.024^(G8-20)*(0.001*$B$6*$B$7)/(0.001*$B$8*$B$9)</f>
        <v>7.8200353144982673</v>
      </c>
      <c r="I8" s="370">
        <f t="shared" si="1"/>
        <v>7.7708998789177564</v>
      </c>
    </row>
    <row r="9" spans="1:9" x14ac:dyDescent="0.35">
      <c r="A9" t="s">
        <v>626</v>
      </c>
      <c r="B9">
        <v>500</v>
      </c>
      <c r="C9" t="s">
        <v>45</v>
      </c>
      <c r="E9">
        <v>3</v>
      </c>
      <c r="F9">
        <f t="shared" si="0"/>
        <v>5.4</v>
      </c>
      <c r="G9">
        <v>18</v>
      </c>
      <c r="H9" s="370">
        <f t="shared" si="2"/>
        <v>8.0077161620462256</v>
      </c>
      <c r="I9" s="370">
        <f t="shared" si="1"/>
        <v>8.5713025664462847</v>
      </c>
    </row>
    <row r="10" spans="1:9" x14ac:dyDescent="0.35">
      <c r="E10">
        <v>4</v>
      </c>
      <c r="F10">
        <f t="shared" si="0"/>
        <v>5.4</v>
      </c>
      <c r="G10">
        <v>17</v>
      </c>
      <c r="H10" s="370">
        <f t="shared" si="2"/>
        <v>8.1999013499353364</v>
      </c>
      <c r="I10" s="370">
        <f t="shared" si="1"/>
        <v>9.4541467307902529</v>
      </c>
    </row>
    <row r="11" spans="1:9" x14ac:dyDescent="0.35">
      <c r="E11">
        <v>5</v>
      </c>
      <c r="F11">
        <f t="shared" si="0"/>
        <v>5.4</v>
      </c>
      <c r="G11">
        <v>16</v>
      </c>
      <c r="H11" s="370">
        <f t="shared" si="2"/>
        <v>8.396698982333783</v>
      </c>
      <c r="I11" s="370">
        <f t="shared" si="1"/>
        <v>10.427923844061651</v>
      </c>
    </row>
    <row r="12" spans="1:9" x14ac:dyDescent="0.35">
      <c r="E12">
        <v>6</v>
      </c>
      <c r="F12">
        <f t="shared" si="0"/>
        <v>5.4</v>
      </c>
      <c r="G12">
        <v>15</v>
      </c>
      <c r="H12" s="370">
        <f t="shared" si="2"/>
        <v>8.5982197579097956</v>
      </c>
      <c r="I12" s="370">
        <f t="shared" si="1"/>
        <v>11.502000000000001</v>
      </c>
    </row>
    <row r="13" spans="1:9" x14ac:dyDescent="0.35">
      <c r="E13">
        <v>7</v>
      </c>
      <c r="F13">
        <f t="shared" si="0"/>
        <v>5.4</v>
      </c>
      <c r="G13">
        <v>14</v>
      </c>
      <c r="H13" s="370">
        <f t="shared" si="2"/>
        <v>8.8045770320996262</v>
      </c>
      <c r="I13" s="370">
        <f t="shared" si="1"/>
        <v>12.686705999999999</v>
      </c>
    </row>
    <row r="14" spans="1:9" x14ac:dyDescent="0.35">
      <c r="E14">
        <v>8</v>
      </c>
      <c r="F14">
        <f t="shared" si="0"/>
        <v>5.4</v>
      </c>
      <c r="G14">
        <v>13</v>
      </c>
      <c r="H14" s="370">
        <f t="shared" si="2"/>
        <v>9.0158868808700205</v>
      </c>
      <c r="I14" s="370">
        <f t="shared" si="1"/>
        <v>13.993436718</v>
      </c>
    </row>
    <row r="15" spans="1:9" x14ac:dyDescent="0.35">
      <c r="E15">
        <v>9</v>
      </c>
      <c r="F15">
        <f t="shared" si="0"/>
        <v>5.4</v>
      </c>
      <c r="G15">
        <v>12</v>
      </c>
      <c r="H15" s="370">
        <f t="shared" si="2"/>
        <v>9.2322681660108987</v>
      </c>
      <c r="I15" s="370">
        <f t="shared" si="1"/>
        <v>15.434760699953999</v>
      </c>
    </row>
    <row r="16" spans="1:9" x14ac:dyDescent="0.35">
      <c r="E16">
        <v>10</v>
      </c>
      <c r="F16">
        <f t="shared" si="0"/>
        <v>5.4</v>
      </c>
      <c r="G16">
        <v>11</v>
      </c>
      <c r="H16" s="370">
        <f t="shared" si="2"/>
        <v>9.4538426019951594</v>
      </c>
      <c r="I16" s="370">
        <f t="shared" si="1"/>
        <v>17.024541052049265</v>
      </c>
    </row>
    <row r="17" spans="5:9" x14ac:dyDescent="0.35">
      <c r="E17">
        <v>11</v>
      </c>
      <c r="F17">
        <f t="shared" si="0"/>
        <v>5.4</v>
      </c>
      <c r="G17">
        <v>10</v>
      </c>
      <c r="H17" s="370">
        <f t="shared" si="2"/>
        <v>9.6807348244430447</v>
      </c>
      <c r="I17" s="370">
        <f t="shared" si="1"/>
        <v>18.778068780410337</v>
      </c>
    </row>
    <row r="18" spans="5:9" x14ac:dyDescent="0.35">
      <c r="E18">
        <v>12</v>
      </c>
      <c r="F18">
        <f t="shared" si="0"/>
        <v>5.4</v>
      </c>
      <c r="G18">
        <v>9</v>
      </c>
      <c r="H18" s="370">
        <f t="shared" si="2"/>
        <v>9.9130724602296798</v>
      </c>
      <c r="I18" s="370">
        <f t="shared" si="1"/>
        <v>20.712209864792602</v>
      </c>
    </row>
    <row r="19" spans="5:9" x14ac:dyDescent="0.35">
      <c r="E19">
        <v>13</v>
      </c>
      <c r="F19">
        <f t="shared" si="0"/>
        <v>5.4</v>
      </c>
      <c r="G19">
        <v>8</v>
      </c>
      <c r="H19" s="370">
        <f t="shared" si="2"/>
        <v>10.15098619927519</v>
      </c>
      <c r="I19" s="370">
        <f t="shared" si="1"/>
        <v>22.84556748086624</v>
      </c>
    </row>
    <row r="20" spans="5:9" x14ac:dyDescent="0.35">
      <c r="E20">
        <v>14</v>
      </c>
      <c r="F20">
        <f t="shared" si="0"/>
        <v>5.4</v>
      </c>
      <c r="G20">
        <v>7</v>
      </c>
      <c r="H20" s="370">
        <f t="shared" si="2"/>
        <v>10.394609868057795</v>
      </c>
      <c r="I20" s="370">
        <f t="shared" si="1"/>
        <v>25.198660931395466</v>
      </c>
    </row>
    <row r="21" spans="5:9" x14ac:dyDescent="0.35">
      <c r="E21">
        <v>15</v>
      </c>
      <c r="F21">
        <f t="shared" si="0"/>
        <v>5.4</v>
      </c>
      <c r="G21">
        <v>6</v>
      </c>
      <c r="H21" s="370">
        <f t="shared" si="2"/>
        <v>10.644080504891182</v>
      </c>
      <c r="I21" s="370">
        <f t="shared" si="1"/>
        <v>27.794123007329198</v>
      </c>
    </row>
    <row r="22" spans="5:9" x14ac:dyDescent="0.35">
      <c r="E22">
        <v>16</v>
      </c>
      <c r="F22">
        <f t="shared" si="0"/>
        <v>5.4</v>
      </c>
      <c r="G22">
        <v>5</v>
      </c>
      <c r="H22" s="370">
        <f t="shared" si="2"/>
        <v>10.899538437008571</v>
      </c>
      <c r="I22" s="370">
        <f t="shared" si="1"/>
        <v>30.656917677084106</v>
      </c>
    </row>
    <row r="23" spans="5:9" x14ac:dyDescent="0.35">
      <c r="E23">
        <v>17</v>
      </c>
      <c r="F23">
        <f t="shared" si="0"/>
        <v>5.4</v>
      </c>
      <c r="G23">
        <v>4</v>
      </c>
      <c r="H23" s="370">
        <f t="shared" si="2"/>
        <v>11.161127359496776</v>
      </c>
      <c r="I23" s="370">
        <f t="shared" si="1"/>
        <v>33.814580197823773</v>
      </c>
    </row>
    <row r="24" spans="5:9" x14ac:dyDescent="0.35">
      <c r="E24">
        <v>18</v>
      </c>
      <c r="F24">
        <f t="shared" si="0"/>
        <v>5.4</v>
      </c>
      <c r="G24">
        <v>3</v>
      </c>
      <c r="H24" s="370">
        <f t="shared" si="2"/>
        <v>11.428994416124697</v>
      </c>
      <c r="I24" s="370">
        <f t="shared" si="1"/>
        <v>37.297481958199619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C4:G5"/>
  <sheetViews>
    <sheetView zoomScale="80" zoomScaleNormal="80" workbookViewId="0"/>
  </sheetViews>
  <sheetFormatPr defaultRowHeight="14.5" x14ac:dyDescent="0.35"/>
  <cols>
    <col min="1" max="1" width="15.1796875" customWidth="1"/>
  </cols>
  <sheetData>
    <row r="4" spans="3:7" x14ac:dyDescent="0.35">
      <c r="C4" s="1"/>
    </row>
    <row r="5" spans="3:7" x14ac:dyDescent="0.35">
      <c r="C5" s="1"/>
      <c r="F5" s="1"/>
      <c r="G5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"/>
  <sheetViews>
    <sheetView zoomScale="80" zoomScaleNormal="80" workbookViewId="0"/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2"/>
  <sheetViews>
    <sheetView zoomScale="80" zoomScaleNormal="80" workbookViewId="0">
      <selection activeCell="B1" sqref="B1"/>
    </sheetView>
  </sheetViews>
  <sheetFormatPr defaultRowHeight="14.5" x14ac:dyDescent="0.35"/>
  <sheetData>
    <row r="1" spans="1:11" ht="25" x14ac:dyDescent="0.35">
      <c r="A1" s="313" t="s">
        <v>552</v>
      </c>
      <c r="B1" s="313">
        <v>0</v>
      </c>
      <c r="C1" s="313">
        <v>0.1</v>
      </c>
      <c r="D1" s="313">
        <v>0.2</v>
      </c>
      <c r="E1" s="313">
        <v>0.3</v>
      </c>
      <c r="F1" s="313">
        <v>0.4</v>
      </c>
      <c r="G1" s="313">
        <v>0.5</v>
      </c>
      <c r="H1" s="313">
        <v>0.6</v>
      </c>
      <c r="I1" s="313">
        <v>0.7</v>
      </c>
      <c r="J1" s="313">
        <v>0.8</v>
      </c>
      <c r="K1" s="313">
        <v>0.9</v>
      </c>
    </row>
    <row r="2" spans="1:11" x14ac:dyDescent="0.35">
      <c r="A2" s="311">
        <v>0</v>
      </c>
      <c r="B2" s="311">
        <v>14.602</v>
      </c>
      <c r="C2" s="311">
        <v>14.561</v>
      </c>
      <c r="D2" s="311">
        <v>14.52</v>
      </c>
      <c r="E2" s="311">
        <v>14.478999999999999</v>
      </c>
      <c r="F2" s="311">
        <v>14.438000000000001</v>
      </c>
      <c r="G2" s="311">
        <v>14.398</v>
      </c>
      <c r="H2" s="311">
        <v>14.358000000000001</v>
      </c>
      <c r="I2" s="311">
        <v>14.318</v>
      </c>
      <c r="J2" s="311">
        <v>14.278</v>
      </c>
      <c r="K2" s="311">
        <v>14.238</v>
      </c>
    </row>
    <row r="3" spans="1:11" x14ac:dyDescent="0.35">
      <c r="A3" s="311">
        <v>1</v>
      </c>
      <c r="B3" s="311">
        <v>14.198</v>
      </c>
      <c r="C3" s="311">
        <v>14.159000000000001</v>
      </c>
      <c r="D3" s="311">
        <v>14.12</v>
      </c>
      <c r="E3" s="311">
        <v>14.081</v>
      </c>
      <c r="F3" s="311">
        <v>14.042</v>
      </c>
      <c r="G3" s="311">
        <v>14.004</v>
      </c>
      <c r="H3" s="311">
        <v>13.968999999999999</v>
      </c>
      <c r="I3" s="311">
        <v>13.927</v>
      </c>
      <c r="J3" s="311">
        <v>13.888999999999999</v>
      </c>
      <c r="K3" s="311">
        <v>13.851000000000001</v>
      </c>
    </row>
    <row r="4" spans="1:11" x14ac:dyDescent="0.35">
      <c r="A4" s="311">
        <v>2</v>
      </c>
      <c r="B4" s="311">
        <v>13.813000000000001</v>
      </c>
      <c r="C4" s="311">
        <v>13.776</v>
      </c>
      <c r="D4" s="311">
        <v>13.738</v>
      </c>
      <c r="E4" s="311">
        <v>13.701000000000001</v>
      </c>
      <c r="F4" s="311">
        <v>13.664</v>
      </c>
      <c r="G4" s="311">
        <v>13.627000000000001</v>
      </c>
      <c r="H4" s="311">
        <v>13.590999999999999</v>
      </c>
      <c r="I4" s="311">
        <v>13.554</v>
      </c>
      <c r="J4" s="311">
        <v>13.518000000000001</v>
      </c>
      <c r="K4" s="311">
        <v>13.481999999999999</v>
      </c>
    </row>
    <row r="5" spans="1:11" x14ac:dyDescent="0.35">
      <c r="A5" s="311">
        <v>3</v>
      </c>
      <c r="B5" s="311">
        <v>13.445</v>
      </c>
      <c r="C5" s="311">
        <v>13.41</v>
      </c>
      <c r="D5" s="311">
        <v>13.374000000000001</v>
      </c>
      <c r="E5" s="311">
        <v>13.337999999999999</v>
      </c>
      <c r="F5" s="311">
        <v>13.303000000000001</v>
      </c>
      <c r="G5" s="311">
        <v>13.268000000000001</v>
      </c>
      <c r="H5" s="311">
        <v>13.233000000000001</v>
      </c>
      <c r="I5" s="311">
        <v>13.198</v>
      </c>
      <c r="J5" s="311">
        <v>13.163</v>
      </c>
      <c r="K5" s="311">
        <v>13.128</v>
      </c>
    </row>
    <row r="6" spans="1:11" x14ac:dyDescent="0.35">
      <c r="A6" s="311">
        <v>4</v>
      </c>
      <c r="B6" s="311">
        <v>13.093999999999999</v>
      </c>
      <c r="C6" s="311">
        <v>13.06</v>
      </c>
      <c r="D6" s="311">
        <v>13.025</v>
      </c>
      <c r="E6" s="311">
        <v>12.991</v>
      </c>
      <c r="F6" s="311">
        <v>12.957000000000001</v>
      </c>
      <c r="G6" s="311">
        <v>12.923999999999999</v>
      </c>
      <c r="H6" s="311">
        <v>12.89</v>
      </c>
      <c r="I6" s="311">
        <v>12.856999999999999</v>
      </c>
      <c r="J6" s="311">
        <v>12.823</v>
      </c>
      <c r="K6" s="311">
        <v>12.79</v>
      </c>
    </row>
    <row r="7" spans="1:11" x14ac:dyDescent="0.35">
      <c r="A7" s="311">
        <v>5</v>
      </c>
      <c r="B7" s="311">
        <v>12.757</v>
      </c>
      <c r="C7" s="311">
        <v>12.725</v>
      </c>
      <c r="D7" s="311">
        <v>12.692</v>
      </c>
      <c r="E7" s="311">
        <v>12.659000000000001</v>
      </c>
      <c r="F7" s="311">
        <v>12.627000000000001</v>
      </c>
      <c r="G7" s="311">
        <v>12.595000000000001</v>
      </c>
      <c r="H7" s="311">
        <v>12.563000000000001</v>
      </c>
      <c r="I7" s="311">
        <v>12.531000000000001</v>
      </c>
      <c r="J7" s="311">
        <v>12.499000000000001</v>
      </c>
      <c r="K7" s="311">
        <v>12.467000000000001</v>
      </c>
    </row>
    <row r="8" spans="1:11" x14ac:dyDescent="0.35">
      <c r="A8" s="311">
        <v>6</v>
      </c>
      <c r="B8" s="311">
        <v>12.436</v>
      </c>
      <c r="C8" s="311">
        <v>12.404</v>
      </c>
      <c r="D8" s="311">
        <v>12.372999999999999</v>
      </c>
      <c r="E8" s="311">
        <v>12.342000000000001</v>
      </c>
      <c r="F8" s="311">
        <v>12.311</v>
      </c>
      <c r="G8" s="311">
        <v>12.28</v>
      </c>
      <c r="H8" s="311">
        <v>12.249000000000001</v>
      </c>
      <c r="I8" s="311">
        <v>12.218</v>
      </c>
      <c r="J8" s="311">
        <v>12.188000000000001</v>
      </c>
      <c r="K8" s="311">
        <v>12.157999999999999</v>
      </c>
    </row>
    <row r="9" spans="1:11" x14ac:dyDescent="0.35">
      <c r="A9" s="311">
        <v>7</v>
      </c>
      <c r="B9" s="311">
        <v>12.127000000000001</v>
      </c>
      <c r="C9" s="311">
        <v>12.097</v>
      </c>
      <c r="D9" s="311">
        <v>12.067</v>
      </c>
      <c r="E9" s="311">
        <v>12.037000000000001</v>
      </c>
      <c r="F9" s="311">
        <v>12.007999999999999</v>
      </c>
      <c r="G9" s="311">
        <v>11.978</v>
      </c>
      <c r="H9" s="311">
        <v>11.949</v>
      </c>
      <c r="I9" s="311">
        <v>11.919</v>
      </c>
      <c r="J9" s="311">
        <v>11.98</v>
      </c>
      <c r="K9" s="311">
        <v>11.861000000000001</v>
      </c>
    </row>
    <row r="10" spans="1:11" x14ac:dyDescent="0.35">
      <c r="A10" s="311">
        <v>8</v>
      </c>
      <c r="B10" s="311">
        <v>11.832000000000001</v>
      </c>
      <c r="C10" s="311">
        <v>11.803000000000001</v>
      </c>
      <c r="D10" s="311">
        <v>11.773999999999999</v>
      </c>
      <c r="E10" s="311">
        <v>11.746</v>
      </c>
      <c r="F10" s="311">
        <v>11.717000000000001</v>
      </c>
      <c r="G10" s="311">
        <v>11.689</v>
      </c>
      <c r="H10" s="311">
        <v>11.661</v>
      </c>
      <c r="I10" s="311">
        <v>11.632</v>
      </c>
      <c r="J10" s="311">
        <v>11.603999999999999</v>
      </c>
      <c r="K10" s="311">
        <v>11.577</v>
      </c>
    </row>
    <row r="11" spans="1:11" x14ac:dyDescent="0.35">
      <c r="A11" s="311">
        <v>9</v>
      </c>
      <c r="B11" s="311">
        <v>11.548999999999999</v>
      </c>
      <c r="C11" s="311">
        <v>11.521000000000001</v>
      </c>
      <c r="D11" s="311">
        <v>11.493</v>
      </c>
      <c r="E11" s="311">
        <v>11.465999999999999</v>
      </c>
      <c r="F11" s="311">
        <v>11.439</v>
      </c>
      <c r="G11" s="311">
        <v>11.412000000000001</v>
      </c>
      <c r="H11" s="311">
        <v>11.384</v>
      </c>
      <c r="I11" s="311">
        <v>11.356999999999999</v>
      </c>
      <c r="J11" s="311">
        <v>11.331</v>
      </c>
      <c r="K11" s="311">
        <v>11.304</v>
      </c>
    </row>
    <row r="12" spans="1:11" x14ac:dyDescent="0.35">
      <c r="A12" s="311">
        <v>10</v>
      </c>
      <c r="B12" s="311">
        <v>11.276999999999999</v>
      </c>
      <c r="C12" s="311">
        <v>11.250999999999999</v>
      </c>
      <c r="D12" s="311">
        <v>11.224</v>
      </c>
      <c r="E12" s="311">
        <v>11.198</v>
      </c>
      <c r="F12" s="311">
        <v>11.172000000000001</v>
      </c>
      <c r="G12" s="311">
        <v>11.145</v>
      </c>
      <c r="H12" s="311">
        <v>11.119</v>
      </c>
      <c r="I12" s="311">
        <v>11.093</v>
      </c>
      <c r="J12" s="311">
        <v>11.068</v>
      </c>
      <c r="K12" s="311">
        <v>11.042</v>
      </c>
    </row>
    <row r="13" spans="1:11" x14ac:dyDescent="0.35">
      <c r="A13" s="311">
        <v>11</v>
      </c>
      <c r="B13" s="311">
        <v>11.016</v>
      </c>
      <c r="C13" s="311">
        <v>10.991</v>
      </c>
      <c r="D13" s="311">
        <v>10.994999999999999</v>
      </c>
      <c r="E13" s="311">
        <v>10.94</v>
      </c>
      <c r="F13" s="311">
        <v>10.914999999999999</v>
      </c>
      <c r="G13" s="311">
        <v>10.89</v>
      </c>
      <c r="H13" s="311">
        <v>10.865</v>
      </c>
      <c r="I13" s="311">
        <v>10.864000000000001</v>
      </c>
      <c r="J13" s="311">
        <v>10.815</v>
      </c>
      <c r="K13" s="311">
        <v>10.791</v>
      </c>
    </row>
    <row r="14" spans="1:11" x14ac:dyDescent="0.35">
      <c r="A14" s="311">
        <v>12</v>
      </c>
      <c r="B14" s="311">
        <v>10.766</v>
      </c>
      <c r="C14" s="311">
        <v>10.741</v>
      </c>
      <c r="D14" s="311">
        <v>10.717000000000001</v>
      </c>
      <c r="E14" s="311">
        <v>10.693</v>
      </c>
      <c r="F14" s="311">
        <v>10.669</v>
      </c>
      <c r="G14" s="311">
        <v>10.645</v>
      </c>
      <c r="H14" s="311">
        <v>10.62</v>
      </c>
      <c r="I14" s="311">
        <v>10.597</v>
      </c>
      <c r="J14" s="311">
        <v>10.573</v>
      </c>
      <c r="K14" s="311">
        <v>10.548999999999999</v>
      </c>
    </row>
    <row r="15" spans="1:11" x14ac:dyDescent="0.35">
      <c r="A15" s="311">
        <v>13</v>
      </c>
      <c r="B15" s="311">
        <v>10.525</v>
      </c>
      <c r="C15" s="311">
        <v>10.502000000000001</v>
      </c>
      <c r="D15" s="311">
        <v>10.478</v>
      </c>
      <c r="E15" s="311">
        <v>10.455</v>
      </c>
      <c r="F15" s="311">
        <v>10.432</v>
      </c>
      <c r="G15" s="311">
        <v>10.409000000000001</v>
      </c>
      <c r="H15" s="311">
        <v>10.385999999999999</v>
      </c>
      <c r="I15" s="311">
        <v>10.363</v>
      </c>
      <c r="J15" s="311">
        <v>10.34</v>
      </c>
      <c r="K15" s="311">
        <v>10.317</v>
      </c>
    </row>
    <row r="16" spans="1:11" x14ac:dyDescent="0.35">
      <c r="A16" s="311">
        <v>14</v>
      </c>
      <c r="B16" s="311">
        <v>10.294</v>
      </c>
      <c r="C16" s="311">
        <v>10.271000000000001</v>
      </c>
      <c r="D16" s="311">
        <v>10.249000000000001</v>
      </c>
      <c r="E16" s="311">
        <v>10.226000000000001</v>
      </c>
      <c r="F16" s="311">
        <v>10.204000000000001</v>
      </c>
      <c r="G16" s="311">
        <v>10.182</v>
      </c>
      <c r="H16" s="311">
        <v>10.16</v>
      </c>
      <c r="I16" s="311">
        <v>10.137</v>
      </c>
      <c r="J16" s="311">
        <v>10.115</v>
      </c>
      <c r="K16" s="311">
        <v>10.093999999999999</v>
      </c>
    </row>
    <row r="17" spans="1:16" x14ac:dyDescent="0.35">
      <c r="A17" s="311">
        <v>15</v>
      </c>
      <c r="B17" s="311">
        <v>10.071999999999999</v>
      </c>
      <c r="C17" s="311">
        <v>10.050000000000001</v>
      </c>
      <c r="D17" s="311">
        <v>10.028</v>
      </c>
      <c r="E17" s="311">
        <v>10.007</v>
      </c>
      <c r="F17" s="311">
        <v>9.9849999999999994</v>
      </c>
      <c r="G17" s="311">
        <v>9.9640000000000004</v>
      </c>
      <c r="H17" s="311">
        <v>9.9420000000000002</v>
      </c>
      <c r="I17" s="311">
        <v>9.9209999999999994</v>
      </c>
      <c r="J17" s="311">
        <v>9.9</v>
      </c>
      <c r="K17" s="311">
        <v>9.8789999999999996</v>
      </c>
    </row>
    <row r="18" spans="1:16" x14ac:dyDescent="0.35">
      <c r="A18" s="311">
        <v>16</v>
      </c>
      <c r="B18" s="311">
        <v>9.8580000000000005</v>
      </c>
      <c r="C18" s="311">
        <v>9.8369999999999997</v>
      </c>
      <c r="D18" s="311">
        <v>9.8160000000000007</v>
      </c>
      <c r="E18" s="311">
        <v>9.7949999999999999</v>
      </c>
      <c r="F18" s="311">
        <v>9.7739999999999991</v>
      </c>
      <c r="G18" s="311">
        <v>9.7530000000000001</v>
      </c>
      <c r="H18" s="311">
        <v>9.7330000000000005</v>
      </c>
      <c r="I18" s="311">
        <v>9.7119999999999997</v>
      </c>
      <c r="J18" s="311">
        <v>9.6920000000000002</v>
      </c>
      <c r="K18" s="311">
        <v>9.6720000000000006</v>
      </c>
    </row>
    <row r="19" spans="1:16" x14ac:dyDescent="0.35">
      <c r="A19" s="311">
        <v>17</v>
      </c>
      <c r="B19" s="311">
        <v>9.6509999999999998</v>
      </c>
      <c r="C19" s="311">
        <v>9.6310000000000002</v>
      </c>
      <c r="D19" s="311">
        <v>9.6110000000000007</v>
      </c>
      <c r="E19" s="311">
        <v>9.5909999999999993</v>
      </c>
      <c r="F19" s="311">
        <v>9.5709999999999997</v>
      </c>
      <c r="G19" s="311">
        <v>9.5510000000000002</v>
      </c>
      <c r="H19" s="311">
        <v>9.5310000000000006</v>
      </c>
      <c r="I19" s="311">
        <v>9.5120000000000005</v>
      </c>
      <c r="J19" s="311">
        <v>9.4920000000000009</v>
      </c>
      <c r="K19" s="311">
        <v>9.4719999999999995</v>
      </c>
    </row>
    <row r="20" spans="1:16" x14ac:dyDescent="0.35">
      <c r="A20" s="311">
        <v>18</v>
      </c>
      <c r="B20" s="311">
        <v>9.4529999999999994</v>
      </c>
      <c r="C20" s="311">
        <v>9.4329999999999998</v>
      </c>
      <c r="D20" s="311">
        <v>9.4139999999999997</v>
      </c>
      <c r="E20" s="311">
        <v>9.3949999999999996</v>
      </c>
      <c r="F20" s="311">
        <v>9.375</v>
      </c>
      <c r="G20" s="311">
        <v>9.3559999999999999</v>
      </c>
      <c r="H20" s="311">
        <v>9.3369999999999997</v>
      </c>
      <c r="I20" s="311">
        <v>9.3179999999999996</v>
      </c>
      <c r="J20" s="311">
        <v>9.2989999999999995</v>
      </c>
      <c r="K20" s="311">
        <v>9.2799999999999994</v>
      </c>
    </row>
    <row r="21" spans="1:16" x14ac:dyDescent="0.35">
      <c r="A21" s="311">
        <v>19</v>
      </c>
      <c r="B21" s="311">
        <v>9.2609999999999992</v>
      </c>
      <c r="C21" s="311">
        <v>9.2420000000000009</v>
      </c>
      <c r="D21" s="311">
        <v>9.2240000000000002</v>
      </c>
      <c r="E21" s="311">
        <v>9.2050000000000001</v>
      </c>
      <c r="F21" s="311">
        <v>9.1869999999999994</v>
      </c>
      <c r="G21" s="311">
        <v>9.1679999999999993</v>
      </c>
      <c r="H21" s="311">
        <v>9.15</v>
      </c>
      <c r="I21" s="311">
        <v>9.1310000000000002</v>
      </c>
      <c r="J21" s="311">
        <v>9.1129999999999995</v>
      </c>
      <c r="K21" s="311">
        <v>9.0950000000000006</v>
      </c>
    </row>
    <row r="22" spans="1:16" x14ac:dyDescent="0.35">
      <c r="A22" s="311">
        <v>20</v>
      </c>
      <c r="B22" s="311">
        <v>9.077</v>
      </c>
      <c r="C22" s="311">
        <v>9.0579999999999998</v>
      </c>
      <c r="D22" s="311">
        <v>9.0399999999999991</v>
      </c>
      <c r="E22" s="311">
        <v>9.0220000000000002</v>
      </c>
      <c r="F22" s="311">
        <v>9.0039999999999996</v>
      </c>
      <c r="G22" s="311">
        <v>8.9870000000000001</v>
      </c>
      <c r="H22" s="311">
        <v>8.9689999999999994</v>
      </c>
      <c r="I22" s="311">
        <v>8.9510000000000005</v>
      </c>
      <c r="J22" s="311">
        <v>8.9329999999999998</v>
      </c>
      <c r="K22" s="311">
        <v>8.9160000000000004</v>
      </c>
      <c r="P22" s="312"/>
    </row>
    <row r="23" spans="1:16" x14ac:dyDescent="0.35">
      <c r="A23" s="311">
        <v>21</v>
      </c>
      <c r="B23" s="311">
        <v>8.9890000000000008</v>
      </c>
      <c r="C23" s="311">
        <v>8.8810000000000002</v>
      </c>
      <c r="D23" s="311">
        <v>8.8629999999999995</v>
      </c>
      <c r="E23" s="311">
        <v>8.8460000000000001</v>
      </c>
      <c r="F23" s="311">
        <v>8.8290000000000006</v>
      </c>
      <c r="G23" s="311">
        <v>8.8119999999999994</v>
      </c>
      <c r="H23" s="311">
        <v>8.7940000000000005</v>
      </c>
      <c r="I23" s="311">
        <v>8.7769999999999992</v>
      </c>
      <c r="J23" s="311">
        <v>8.76</v>
      </c>
      <c r="K23" s="311">
        <v>8.7430000000000003</v>
      </c>
    </row>
    <row r="24" spans="1:16" x14ac:dyDescent="0.35">
      <c r="A24" s="311">
        <v>22</v>
      </c>
      <c r="B24" s="311">
        <v>8.7260000000000009</v>
      </c>
      <c r="C24" s="311">
        <v>8.7089999999999996</v>
      </c>
      <c r="D24" s="311">
        <v>8.6929999999999996</v>
      </c>
      <c r="E24" s="311">
        <v>8.6760000000000002</v>
      </c>
      <c r="F24" s="311">
        <v>8.6590000000000007</v>
      </c>
      <c r="G24" s="311">
        <v>8.6419999999999995</v>
      </c>
      <c r="H24" s="311">
        <v>8.6259999999999994</v>
      </c>
      <c r="I24" s="311">
        <v>8.609</v>
      </c>
      <c r="J24" s="311">
        <v>8.5830000000000002</v>
      </c>
      <c r="K24" s="311">
        <v>8.5760000000000005</v>
      </c>
    </row>
    <row r="25" spans="1:16" x14ac:dyDescent="0.35">
      <c r="A25" s="311">
        <v>23</v>
      </c>
      <c r="B25" s="311">
        <v>8.56</v>
      </c>
      <c r="C25" s="311">
        <v>8.5440000000000005</v>
      </c>
      <c r="D25" s="311">
        <v>8.5280000000000005</v>
      </c>
      <c r="E25" s="311">
        <v>8.5109999999999992</v>
      </c>
      <c r="F25" s="311">
        <v>8.4949999999999992</v>
      </c>
      <c r="G25" s="311">
        <v>8.4789999999999992</v>
      </c>
      <c r="H25" s="311">
        <v>8.4629999999999992</v>
      </c>
      <c r="I25" s="311">
        <v>8.4469999999999992</v>
      </c>
      <c r="J25" s="311">
        <v>8.4309999999999992</v>
      </c>
      <c r="K25" s="311">
        <v>8.4149999999999991</v>
      </c>
    </row>
    <row r="26" spans="1:16" x14ac:dyDescent="0.35">
      <c r="A26" s="311">
        <v>24</v>
      </c>
      <c r="B26" s="311">
        <v>8.4</v>
      </c>
      <c r="C26" s="311">
        <v>8.3840000000000003</v>
      </c>
      <c r="D26" s="311">
        <v>8.3680000000000003</v>
      </c>
      <c r="E26" s="311">
        <v>8.3520000000000003</v>
      </c>
      <c r="F26" s="311">
        <v>8.3369999999999997</v>
      </c>
      <c r="G26" s="311">
        <v>8.3209999999999997</v>
      </c>
      <c r="H26" s="311">
        <v>8.3059999999999992</v>
      </c>
      <c r="I26" s="311">
        <v>8.2899999999999991</v>
      </c>
      <c r="J26" s="311">
        <v>8.2750000000000004</v>
      </c>
      <c r="K26" s="311">
        <v>8.26</v>
      </c>
    </row>
    <row r="27" spans="1:16" x14ac:dyDescent="0.35">
      <c r="A27" s="311">
        <v>25</v>
      </c>
      <c r="B27" s="311">
        <v>8.2439999999999998</v>
      </c>
      <c r="C27" s="311" t="s">
        <v>551</v>
      </c>
      <c r="D27" s="311">
        <v>9.2140000000000004</v>
      </c>
      <c r="E27" s="311">
        <v>8.1989999999999998</v>
      </c>
      <c r="F27" s="311">
        <v>8.1839999999999993</v>
      </c>
      <c r="G27" s="311">
        <v>8.1679999999999993</v>
      </c>
      <c r="H27" s="311">
        <v>8.1530000000000005</v>
      </c>
      <c r="I27" s="311">
        <v>8.1389999999999993</v>
      </c>
      <c r="J27" s="311">
        <v>8.1240000000000006</v>
      </c>
      <c r="K27" s="311">
        <v>8.109</v>
      </c>
    </row>
    <row r="28" spans="1:16" x14ac:dyDescent="0.35">
      <c r="A28" s="311">
        <v>26</v>
      </c>
      <c r="B28" s="311">
        <v>8.0939999999999994</v>
      </c>
      <c r="C28" s="311">
        <v>8.0790000000000006</v>
      </c>
      <c r="D28" s="311">
        <v>8.0649999999999995</v>
      </c>
      <c r="E28" s="311">
        <v>8.0500000000000007</v>
      </c>
      <c r="F28" s="311">
        <v>8.0350000000000001</v>
      </c>
      <c r="G28" s="311">
        <v>8.0210000000000008</v>
      </c>
      <c r="H28" s="311">
        <v>8.0060000000000002</v>
      </c>
      <c r="I28" s="311">
        <v>7.992</v>
      </c>
      <c r="J28" s="311">
        <v>7.9770000000000003</v>
      </c>
      <c r="K28" s="311">
        <v>7.9630000000000001</v>
      </c>
    </row>
    <row r="29" spans="1:16" x14ac:dyDescent="0.35">
      <c r="A29" s="311">
        <v>27</v>
      </c>
      <c r="B29" s="311">
        <v>7.9489999999999998</v>
      </c>
      <c r="C29" s="311">
        <v>7.9340000000000002</v>
      </c>
      <c r="D29" s="311">
        <v>7.92</v>
      </c>
      <c r="E29" s="311">
        <v>7.9059999999999997</v>
      </c>
      <c r="F29" s="311">
        <v>7.8920000000000003</v>
      </c>
      <c r="G29" s="311">
        <v>7.8780000000000001</v>
      </c>
      <c r="H29" s="311">
        <v>7.8639999999999999</v>
      </c>
      <c r="I29" s="311">
        <v>7.85</v>
      </c>
      <c r="J29" s="311">
        <v>7.8360000000000003</v>
      </c>
      <c r="K29" s="311">
        <v>7.8220000000000001</v>
      </c>
    </row>
    <row r="30" spans="1:16" x14ac:dyDescent="0.35">
      <c r="A30" s="311">
        <v>28</v>
      </c>
      <c r="B30" s="311">
        <v>7.8079999999999998</v>
      </c>
      <c r="C30" s="311">
        <v>7.7939999999999996</v>
      </c>
      <c r="D30" s="311">
        <v>7.78</v>
      </c>
      <c r="E30" s="311">
        <v>7.766</v>
      </c>
      <c r="F30" s="311">
        <v>7.7530000000000001</v>
      </c>
      <c r="G30" s="311">
        <v>7.7389999999999999</v>
      </c>
      <c r="H30" s="311">
        <v>7.7249999999999996</v>
      </c>
      <c r="I30" s="311">
        <v>7.7119999999999997</v>
      </c>
      <c r="J30" s="311">
        <v>7.6980000000000004</v>
      </c>
      <c r="K30" s="311">
        <v>7.6849999999999996</v>
      </c>
    </row>
    <row r="31" spans="1:16" x14ac:dyDescent="0.35">
      <c r="A31" s="311">
        <v>29</v>
      </c>
      <c r="B31" s="311">
        <v>7.6710000000000003</v>
      </c>
      <c r="C31" s="311">
        <v>7.6580000000000004</v>
      </c>
      <c r="D31" s="311">
        <v>7.6449999999999996</v>
      </c>
      <c r="E31" s="311">
        <v>7.6310000000000002</v>
      </c>
      <c r="F31" s="311">
        <v>7.6180000000000003</v>
      </c>
      <c r="G31" s="311">
        <v>7.6050000000000004</v>
      </c>
      <c r="H31" s="311">
        <v>7.5919999999999996</v>
      </c>
      <c r="I31" s="311">
        <v>7.5780000000000003</v>
      </c>
      <c r="J31" s="311">
        <v>7.5650000000000004</v>
      </c>
      <c r="K31" s="311">
        <v>7.5519999999999996</v>
      </c>
    </row>
    <row r="32" spans="1:16" x14ac:dyDescent="0.35">
      <c r="A32" s="311">
        <v>30</v>
      </c>
      <c r="B32" s="311">
        <v>7.5389999999999997</v>
      </c>
      <c r="C32" s="311">
        <v>7.5259999999999998</v>
      </c>
      <c r="D32" s="311">
        <v>7.5129999999999999</v>
      </c>
      <c r="E32" s="311">
        <v>7.5</v>
      </c>
      <c r="F32" s="311">
        <v>7.4870000000000001</v>
      </c>
      <c r="G32" s="311">
        <v>7.4749999999999996</v>
      </c>
      <c r="H32" s="311">
        <v>7.4619999999999997</v>
      </c>
      <c r="I32" s="311">
        <v>7.4489999999999998</v>
      </c>
      <c r="J32" s="311">
        <v>7.4359999999999999</v>
      </c>
      <c r="K32" s="311">
        <v>7.4240000000000004</v>
      </c>
    </row>
    <row r="33" spans="1:11" x14ac:dyDescent="0.35">
      <c r="A33" s="311">
        <v>31</v>
      </c>
      <c r="B33" s="311">
        <v>7.4109999999999996</v>
      </c>
      <c r="C33" s="311">
        <v>7.3979999999999997</v>
      </c>
      <c r="D33" s="311">
        <v>7.3860000000000001</v>
      </c>
      <c r="E33" s="311">
        <v>7.3730000000000002</v>
      </c>
      <c r="F33" s="311">
        <v>7.3609999999999998</v>
      </c>
      <c r="G33" s="311">
        <v>7.3479999999999999</v>
      </c>
      <c r="H33" s="311">
        <v>7.3360000000000003</v>
      </c>
      <c r="I33" s="311">
        <v>7.3239999999999998</v>
      </c>
      <c r="J33" s="311">
        <v>7.3109999999999999</v>
      </c>
      <c r="K33" s="311">
        <v>7.2990000000000004</v>
      </c>
    </row>
    <row r="34" spans="1:11" x14ac:dyDescent="0.35">
      <c r="A34" s="311">
        <v>32</v>
      </c>
      <c r="B34" s="311">
        <v>7.2869999999999999</v>
      </c>
      <c r="C34" s="311">
        <v>7.274</v>
      </c>
      <c r="D34" s="311">
        <v>7.2619999999999996</v>
      </c>
      <c r="E34" s="311">
        <v>7.25</v>
      </c>
      <c r="F34" s="311">
        <v>7.2380000000000004</v>
      </c>
      <c r="G34" s="311">
        <v>7.226</v>
      </c>
      <c r="H34" s="311">
        <v>7.2140000000000004</v>
      </c>
      <c r="I34" s="311">
        <v>7.202</v>
      </c>
      <c r="J34" s="311">
        <v>7.19</v>
      </c>
      <c r="K34" s="311">
        <v>7.1779999999999999</v>
      </c>
    </row>
    <row r="35" spans="1:11" x14ac:dyDescent="0.35">
      <c r="A35" s="311">
        <v>33</v>
      </c>
      <c r="B35" s="311">
        <v>7.1660000000000004</v>
      </c>
      <c r="C35" s="311">
        <v>7.1539999999999999</v>
      </c>
      <c r="D35" s="311">
        <v>7.1420000000000003</v>
      </c>
      <c r="E35" s="311">
        <v>7.13</v>
      </c>
      <c r="F35" s="311">
        <v>7.1189999999999998</v>
      </c>
      <c r="G35" s="311">
        <v>7.1070000000000002</v>
      </c>
      <c r="H35" s="311">
        <v>7.0949999999999998</v>
      </c>
      <c r="I35" s="311">
        <v>7.0830000000000002</v>
      </c>
      <c r="J35" s="311">
        <v>7.0720000000000001</v>
      </c>
      <c r="K35" s="311">
        <v>7.06</v>
      </c>
    </row>
    <row r="36" spans="1:11" x14ac:dyDescent="0.35">
      <c r="A36" s="311">
        <v>34</v>
      </c>
      <c r="B36" s="311">
        <v>7.0490000000000004</v>
      </c>
      <c r="C36" s="311">
        <v>7.0369999999999999</v>
      </c>
      <c r="D36" s="311">
        <v>7.0259999999999998</v>
      </c>
      <c r="E36" s="311">
        <v>7.0140000000000002</v>
      </c>
      <c r="F36" s="311">
        <v>7.0030000000000001</v>
      </c>
      <c r="G36" s="311">
        <v>6.9909999999999997</v>
      </c>
      <c r="H36" s="311">
        <v>6.98</v>
      </c>
      <c r="I36" s="311">
        <v>6.9690000000000003</v>
      </c>
      <c r="J36" s="311">
        <v>6.9569999999999999</v>
      </c>
      <c r="K36" s="311">
        <v>6.9459999999999997</v>
      </c>
    </row>
    <row r="37" spans="1:11" x14ac:dyDescent="0.35">
      <c r="A37" s="311">
        <v>35</v>
      </c>
      <c r="B37" s="311">
        <v>6.9349999999999996</v>
      </c>
      <c r="C37" s="311">
        <v>6.9240000000000004</v>
      </c>
      <c r="D37" s="311">
        <v>6.9119999999999999</v>
      </c>
      <c r="E37" s="311">
        <v>6.9009999999999998</v>
      </c>
      <c r="F37" s="311">
        <v>6.89</v>
      </c>
      <c r="G37" s="311">
        <v>6.8789999999999996</v>
      </c>
      <c r="H37" s="311">
        <v>6.8680000000000003</v>
      </c>
      <c r="I37" s="311">
        <v>6.8570000000000002</v>
      </c>
      <c r="J37" s="311">
        <v>6.8460000000000001</v>
      </c>
      <c r="K37" s="311">
        <v>6.835</v>
      </c>
    </row>
    <row r="38" spans="1:11" x14ac:dyDescent="0.35">
      <c r="A38" s="311">
        <v>36</v>
      </c>
      <c r="B38" s="311">
        <v>6.8239999999999998</v>
      </c>
      <c r="C38" s="311">
        <v>6.8129999999999997</v>
      </c>
      <c r="D38" s="311">
        <v>6.8019999999999996</v>
      </c>
      <c r="E38" s="311">
        <v>6.7910000000000004</v>
      </c>
      <c r="F38" s="311">
        <v>6.7809999999999997</v>
      </c>
      <c r="G38" s="311">
        <v>6.77</v>
      </c>
      <c r="H38" s="311">
        <v>6.7590000000000003</v>
      </c>
      <c r="I38" s="311">
        <v>6.7480000000000002</v>
      </c>
      <c r="J38" s="311">
        <v>6.7380000000000004</v>
      </c>
      <c r="K38" s="311">
        <v>6.7270000000000003</v>
      </c>
    </row>
    <row r="39" spans="1:11" x14ac:dyDescent="0.35">
      <c r="A39" s="311">
        <v>37</v>
      </c>
      <c r="B39" s="311">
        <v>6.7160000000000002</v>
      </c>
      <c r="C39" s="311">
        <v>6.7060000000000004</v>
      </c>
      <c r="D39" s="311">
        <v>6.6950000000000003</v>
      </c>
      <c r="E39" s="311">
        <v>6.6849999999999996</v>
      </c>
      <c r="F39" s="311">
        <v>6.6740000000000004</v>
      </c>
      <c r="G39" s="311">
        <v>6.6639999999999997</v>
      </c>
      <c r="H39" s="311">
        <v>6.6529999999999996</v>
      </c>
      <c r="I39" s="311">
        <v>6.6429999999999998</v>
      </c>
      <c r="J39" s="311">
        <v>6.6319999999999997</v>
      </c>
      <c r="K39" s="311">
        <v>6.6219999999999999</v>
      </c>
    </row>
    <row r="40" spans="1:11" x14ac:dyDescent="0.35">
      <c r="A40" s="311">
        <v>38</v>
      </c>
      <c r="B40" s="311">
        <v>6.6120000000000001</v>
      </c>
      <c r="C40" s="311">
        <v>6.601</v>
      </c>
      <c r="D40" s="311">
        <v>6.5910000000000002</v>
      </c>
      <c r="E40" s="311">
        <v>6.5810000000000004</v>
      </c>
      <c r="F40" s="311">
        <v>6.57</v>
      </c>
      <c r="G40" s="311">
        <v>6.56</v>
      </c>
      <c r="H40" s="311">
        <v>6.55</v>
      </c>
      <c r="I40" s="311">
        <v>6.54</v>
      </c>
      <c r="J40" s="311">
        <v>6.53</v>
      </c>
      <c r="K40" s="311">
        <v>6.52</v>
      </c>
    </row>
    <row r="41" spans="1:11" x14ac:dyDescent="0.35">
      <c r="A41" s="311">
        <v>39</v>
      </c>
      <c r="B41" s="311">
        <v>6.5090000000000003</v>
      </c>
      <c r="C41" s="311">
        <v>6.4989999999999997</v>
      </c>
      <c r="D41" s="311">
        <v>6.4889999999999999</v>
      </c>
      <c r="E41" s="311">
        <v>6.4790000000000001</v>
      </c>
      <c r="F41" s="311">
        <v>6.4690000000000003</v>
      </c>
      <c r="G41" s="311">
        <v>6.46</v>
      </c>
      <c r="H41" s="311">
        <v>6.45</v>
      </c>
      <c r="I41" s="311">
        <v>6.44</v>
      </c>
      <c r="J41" s="311">
        <v>6.43</v>
      </c>
      <c r="K41" s="311">
        <v>6.42</v>
      </c>
    </row>
    <row r="42" spans="1:11" x14ac:dyDescent="0.35">
      <c r="A42" s="311">
        <v>40</v>
      </c>
      <c r="B42" s="311">
        <v>6.41</v>
      </c>
      <c r="C42" s="311">
        <v>6.4</v>
      </c>
      <c r="D42" s="311">
        <v>6.391</v>
      </c>
      <c r="E42" s="311">
        <v>6.3810000000000002</v>
      </c>
      <c r="F42" s="311">
        <v>6.3710000000000004</v>
      </c>
      <c r="G42" s="311">
        <v>6.3609999999999998</v>
      </c>
      <c r="H42" s="311">
        <v>6.3520000000000003</v>
      </c>
      <c r="I42" s="311">
        <v>6.3419999999999996</v>
      </c>
      <c r="J42" s="311">
        <v>6.3330000000000002</v>
      </c>
      <c r="K42" s="311">
        <v>6.3230000000000004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K109"/>
  <sheetViews>
    <sheetView zoomScale="80" zoomScaleNormal="80" workbookViewId="0">
      <selection activeCell="C24" sqref="C24"/>
    </sheetView>
  </sheetViews>
  <sheetFormatPr defaultRowHeight="12.5" x14ac:dyDescent="0.25"/>
  <cols>
    <col min="1" max="1" width="30.54296875" style="177" customWidth="1"/>
    <col min="2" max="2" width="18.453125" style="172" customWidth="1"/>
    <col min="3" max="3" width="14.453125" style="173" customWidth="1"/>
    <col min="4" max="4" width="19" style="173" customWidth="1"/>
    <col min="5" max="5" width="18.1796875" style="173" customWidth="1"/>
    <col min="6" max="6" width="16.1796875" style="173" customWidth="1"/>
    <col min="7" max="7" width="17.81640625" style="173" customWidth="1"/>
    <col min="8" max="8" width="10.1796875" style="173" customWidth="1"/>
    <col min="9" max="9" width="8.54296875" style="173" customWidth="1"/>
    <col min="10" max="10" width="18.7265625" style="173" customWidth="1"/>
    <col min="11" max="256" width="9.1796875" style="173"/>
    <col min="257" max="257" width="30.54296875" style="173" customWidth="1"/>
    <col min="258" max="258" width="18.453125" style="173" customWidth="1"/>
    <col min="259" max="259" width="14.453125" style="173" customWidth="1"/>
    <col min="260" max="260" width="19" style="173" customWidth="1"/>
    <col min="261" max="261" width="18.1796875" style="173" customWidth="1"/>
    <col min="262" max="262" width="16.1796875" style="173" customWidth="1"/>
    <col min="263" max="263" width="17.81640625" style="173" customWidth="1"/>
    <col min="264" max="264" width="10.1796875" style="173" customWidth="1"/>
    <col min="265" max="265" width="8.54296875" style="173" customWidth="1"/>
    <col min="266" max="266" width="18.7265625" style="173" customWidth="1"/>
    <col min="267" max="512" width="9.1796875" style="173"/>
    <col min="513" max="513" width="30.54296875" style="173" customWidth="1"/>
    <col min="514" max="514" width="18.453125" style="173" customWidth="1"/>
    <col min="515" max="515" width="14.453125" style="173" customWidth="1"/>
    <col min="516" max="516" width="19" style="173" customWidth="1"/>
    <col min="517" max="517" width="18.1796875" style="173" customWidth="1"/>
    <col min="518" max="518" width="16.1796875" style="173" customWidth="1"/>
    <col min="519" max="519" width="17.81640625" style="173" customWidth="1"/>
    <col min="520" max="520" width="10.1796875" style="173" customWidth="1"/>
    <col min="521" max="521" width="8.54296875" style="173" customWidth="1"/>
    <col min="522" max="522" width="18.7265625" style="173" customWidth="1"/>
    <col min="523" max="768" width="9.1796875" style="173"/>
    <col min="769" max="769" width="30.54296875" style="173" customWidth="1"/>
    <col min="770" max="770" width="18.453125" style="173" customWidth="1"/>
    <col min="771" max="771" width="14.453125" style="173" customWidth="1"/>
    <col min="772" max="772" width="19" style="173" customWidth="1"/>
    <col min="773" max="773" width="18.1796875" style="173" customWidth="1"/>
    <col min="774" max="774" width="16.1796875" style="173" customWidth="1"/>
    <col min="775" max="775" width="17.81640625" style="173" customWidth="1"/>
    <col min="776" max="776" width="10.1796875" style="173" customWidth="1"/>
    <col min="777" max="777" width="8.54296875" style="173" customWidth="1"/>
    <col min="778" max="778" width="18.7265625" style="173" customWidth="1"/>
    <col min="779" max="1024" width="9.1796875" style="173"/>
    <col min="1025" max="1025" width="30.54296875" style="173" customWidth="1"/>
    <col min="1026" max="1026" width="18.453125" style="173" customWidth="1"/>
    <col min="1027" max="1027" width="14.453125" style="173" customWidth="1"/>
    <col min="1028" max="1028" width="19" style="173" customWidth="1"/>
    <col min="1029" max="1029" width="18.1796875" style="173" customWidth="1"/>
    <col min="1030" max="1030" width="16.1796875" style="173" customWidth="1"/>
    <col min="1031" max="1031" width="17.81640625" style="173" customWidth="1"/>
    <col min="1032" max="1032" width="10.1796875" style="173" customWidth="1"/>
    <col min="1033" max="1033" width="8.54296875" style="173" customWidth="1"/>
    <col min="1034" max="1034" width="18.7265625" style="173" customWidth="1"/>
    <col min="1035" max="1280" width="9.1796875" style="173"/>
    <col min="1281" max="1281" width="30.54296875" style="173" customWidth="1"/>
    <col min="1282" max="1282" width="18.453125" style="173" customWidth="1"/>
    <col min="1283" max="1283" width="14.453125" style="173" customWidth="1"/>
    <col min="1284" max="1284" width="19" style="173" customWidth="1"/>
    <col min="1285" max="1285" width="18.1796875" style="173" customWidth="1"/>
    <col min="1286" max="1286" width="16.1796875" style="173" customWidth="1"/>
    <col min="1287" max="1287" width="17.81640625" style="173" customWidth="1"/>
    <col min="1288" max="1288" width="10.1796875" style="173" customWidth="1"/>
    <col min="1289" max="1289" width="8.54296875" style="173" customWidth="1"/>
    <col min="1290" max="1290" width="18.7265625" style="173" customWidth="1"/>
    <col min="1291" max="1536" width="9.1796875" style="173"/>
    <col min="1537" max="1537" width="30.54296875" style="173" customWidth="1"/>
    <col min="1538" max="1538" width="18.453125" style="173" customWidth="1"/>
    <col min="1539" max="1539" width="14.453125" style="173" customWidth="1"/>
    <col min="1540" max="1540" width="19" style="173" customWidth="1"/>
    <col min="1541" max="1541" width="18.1796875" style="173" customWidth="1"/>
    <col min="1542" max="1542" width="16.1796875" style="173" customWidth="1"/>
    <col min="1543" max="1543" width="17.81640625" style="173" customWidth="1"/>
    <col min="1544" max="1544" width="10.1796875" style="173" customWidth="1"/>
    <col min="1545" max="1545" width="8.54296875" style="173" customWidth="1"/>
    <col min="1546" max="1546" width="18.7265625" style="173" customWidth="1"/>
    <col min="1547" max="1792" width="9.1796875" style="173"/>
    <col min="1793" max="1793" width="30.54296875" style="173" customWidth="1"/>
    <col min="1794" max="1794" width="18.453125" style="173" customWidth="1"/>
    <col min="1795" max="1795" width="14.453125" style="173" customWidth="1"/>
    <col min="1796" max="1796" width="19" style="173" customWidth="1"/>
    <col min="1797" max="1797" width="18.1796875" style="173" customWidth="1"/>
    <col min="1798" max="1798" width="16.1796875" style="173" customWidth="1"/>
    <col min="1799" max="1799" width="17.81640625" style="173" customWidth="1"/>
    <col min="1800" max="1800" width="10.1796875" style="173" customWidth="1"/>
    <col min="1801" max="1801" width="8.54296875" style="173" customWidth="1"/>
    <col min="1802" max="1802" width="18.7265625" style="173" customWidth="1"/>
    <col min="1803" max="2048" width="9.1796875" style="173"/>
    <col min="2049" max="2049" width="30.54296875" style="173" customWidth="1"/>
    <col min="2050" max="2050" width="18.453125" style="173" customWidth="1"/>
    <col min="2051" max="2051" width="14.453125" style="173" customWidth="1"/>
    <col min="2052" max="2052" width="19" style="173" customWidth="1"/>
    <col min="2053" max="2053" width="18.1796875" style="173" customWidth="1"/>
    <col min="2054" max="2054" width="16.1796875" style="173" customWidth="1"/>
    <col min="2055" max="2055" width="17.81640625" style="173" customWidth="1"/>
    <col min="2056" max="2056" width="10.1796875" style="173" customWidth="1"/>
    <col min="2057" max="2057" width="8.54296875" style="173" customWidth="1"/>
    <col min="2058" max="2058" width="18.7265625" style="173" customWidth="1"/>
    <col min="2059" max="2304" width="9.1796875" style="173"/>
    <col min="2305" max="2305" width="30.54296875" style="173" customWidth="1"/>
    <col min="2306" max="2306" width="18.453125" style="173" customWidth="1"/>
    <col min="2307" max="2307" width="14.453125" style="173" customWidth="1"/>
    <col min="2308" max="2308" width="19" style="173" customWidth="1"/>
    <col min="2309" max="2309" width="18.1796875" style="173" customWidth="1"/>
    <col min="2310" max="2310" width="16.1796875" style="173" customWidth="1"/>
    <col min="2311" max="2311" width="17.81640625" style="173" customWidth="1"/>
    <col min="2312" max="2312" width="10.1796875" style="173" customWidth="1"/>
    <col min="2313" max="2313" width="8.54296875" style="173" customWidth="1"/>
    <col min="2314" max="2314" width="18.7265625" style="173" customWidth="1"/>
    <col min="2315" max="2560" width="9.1796875" style="173"/>
    <col min="2561" max="2561" width="30.54296875" style="173" customWidth="1"/>
    <col min="2562" max="2562" width="18.453125" style="173" customWidth="1"/>
    <col min="2563" max="2563" width="14.453125" style="173" customWidth="1"/>
    <col min="2564" max="2564" width="19" style="173" customWidth="1"/>
    <col min="2565" max="2565" width="18.1796875" style="173" customWidth="1"/>
    <col min="2566" max="2566" width="16.1796875" style="173" customWidth="1"/>
    <col min="2567" max="2567" width="17.81640625" style="173" customWidth="1"/>
    <col min="2568" max="2568" width="10.1796875" style="173" customWidth="1"/>
    <col min="2569" max="2569" width="8.54296875" style="173" customWidth="1"/>
    <col min="2570" max="2570" width="18.7265625" style="173" customWidth="1"/>
    <col min="2571" max="2816" width="9.1796875" style="173"/>
    <col min="2817" max="2817" width="30.54296875" style="173" customWidth="1"/>
    <col min="2818" max="2818" width="18.453125" style="173" customWidth="1"/>
    <col min="2819" max="2819" width="14.453125" style="173" customWidth="1"/>
    <col min="2820" max="2820" width="19" style="173" customWidth="1"/>
    <col min="2821" max="2821" width="18.1796875" style="173" customWidth="1"/>
    <col min="2822" max="2822" width="16.1796875" style="173" customWidth="1"/>
    <col min="2823" max="2823" width="17.81640625" style="173" customWidth="1"/>
    <col min="2824" max="2824" width="10.1796875" style="173" customWidth="1"/>
    <col min="2825" max="2825" width="8.54296875" style="173" customWidth="1"/>
    <col min="2826" max="2826" width="18.7265625" style="173" customWidth="1"/>
    <col min="2827" max="3072" width="9.1796875" style="173"/>
    <col min="3073" max="3073" width="30.54296875" style="173" customWidth="1"/>
    <col min="3074" max="3074" width="18.453125" style="173" customWidth="1"/>
    <col min="3075" max="3075" width="14.453125" style="173" customWidth="1"/>
    <col min="3076" max="3076" width="19" style="173" customWidth="1"/>
    <col min="3077" max="3077" width="18.1796875" style="173" customWidth="1"/>
    <col min="3078" max="3078" width="16.1796875" style="173" customWidth="1"/>
    <col min="3079" max="3079" width="17.81640625" style="173" customWidth="1"/>
    <col min="3080" max="3080" width="10.1796875" style="173" customWidth="1"/>
    <col min="3081" max="3081" width="8.54296875" style="173" customWidth="1"/>
    <col min="3082" max="3082" width="18.7265625" style="173" customWidth="1"/>
    <col min="3083" max="3328" width="9.1796875" style="173"/>
    <col min="3329" max="3329" width="30.54296875" style="173" customWidth="1"/>
    <col min="3330" max="3330" width="18.453125" style="173" customWidth="1"/>
    <col min="3331" max="3331" width="14.453125" style="173" customWidth="1"/>
    <col min="3332" max="3332" width="19" style="173" customWidth="1"/>
    <col min="3333" max="3333" width="18.1796875" style="173" customWidth="1"/>
    <col min="3334" max="3334" width="16.1796875" style="173" customWidth="1"/>
    <col min="3335" max="3335" width="17.81640625" style="173" customWidth="1"/>
    <col min="3336" max="3336" width="10.1796875" style="173" customWidth="1"/>
    <col min="3337" max="3337" width="8.54296875" style="173" customWidth="1"/>
    <col min="3338" max="3338" width="18.7265625" style="173" customWidth="1"/>
    <col min="3339" max="3584" width="9.1796875" style="173"/>
    <col min="3585" max="3585" width="30.54296875" style="173" customWidth="1"/>
    <col min="3586" max="3586" width="18.453125" style="173" customWidth="1"/>
    <col min="3587" max="3587" width="14.453125" style="173" customWidth="1"/>
    <col min="3588" max="3588" width="19" style="173" customWidth="1"/>
    <col min="3589" max="3589" width="18.1796875" style="173" customWidth="1"/>
    <col min="3590" max="3590" width="16.1796875" style="173" customWidth="1"/>
    <col min="3591" max="3591" width="17.81640625" style="173" customWidth="1"/>
    <col min="3592" max="3592" width="10.1796875" style="173" customWidth="1"/>
    <col min="3593" max="3593" width="8.54296875" style="173" customWidth="1"/>
    <col min="3594" max="3594" width="18.7265625" style="173" customWidth="1"/>
    <col min="3595" max="3840" width="9.1796875" style="173"/>
    <col min="3841" max="3841" width="30.54296875" style="173" customWidth="1"/>
    <col min="3842" max="3842" width="18.453125" style="173" customWidth="1"/>
    <col min="3843" max="3843" width="14.453125" style="173" customWidth="1"/>
    <col min="3844" max="3844" width="19" style="173" customWidth="1"/>
    <col min="3845" max="3845" width="18.1796875" style="173" customWidth="1"/>
    <col min="3846" max="3846" width="16.1796875" style="173" customWidth="1"/>
    <col min="3847" max="3847" width="17.81640625" style="173" customWidth="1"/>
    <col min="3848" max="3848" width="10.1796875" style="173" customWidth="1"/>
    <col min="3849" max="3849" width="8.54296875" style="173" customWidth="1"/>
    <col min="3850" max="3850" width="18.7265625" style="173" customWidth="1"/>
    <col min="3851" max="4096" width="9.1796875" style="173"/>
    <col min="4097" max="4097" width="30.54296875" style="173" customWidth="1"/>
    <col min="4098" max="4098" width="18.453125" style="173" customWidth="1"/>
    <col min="4099" max="4099" width="14.453125" style="173" customWidth="1"/>
    <col min="4100" max="4100" width="19" style="173" customWidth="1"/>
    <col min="4101" max="4101" width="18.1796875" style="173" customWidth="1"/>
    <col min="4102" max="4102" width="16.1796875" style="173" customWidth="1"/>
    <col min="4103" max="4103" width="17.81640625" style="173" customWidth="1"/>
    <col min="4104" max="4104" width="10.1796875" style="173" customWidth="1"/>
    <col min="4105" max="4105" width="8.54296875" style="173" customWidth="1"/>
    <col min="4106" max="4106" width="18.7265625" style="173" customWidth="1"/>
    <col min="4107" max="4352" width="9.1796875" style="173"/>
    <col min="4353" max="4353" width="30.54296875" style="173" customWidth="1"/>
    <col min="4354" max="4354" width="18.453125" style="173" customWidth="1"/>
    <col min="4355" max="4355" width="14.453125" style="173" customWidth="1"/>
    <col min="4356" max="4356" width="19" style="173" customWidth="1"/>
    <col min="4357" max="4357" width="18.1796875" style="173" customWidth="1"/>
    <col min="4358" max="4358" width="16.1796875" style="173" customWidth="1"/>
    <col min="4359" max="4359" width="17.81640625" style="173" customWidth="1"/>
    <col min="4360" max="4360" width="10.1796875" style="173" customWidth="1"/>
    <col min="4361" max="4361" width="8.54296875" style="173" customWidth="1"/>
    <col min="4362" max="4362" width="18.7265625" style="173" customWidth="1"/>
    <col min="4363" max="4608" width="9.1796875" style="173"/>
    <col min="4609" max="4609" width="30.54296875" style="173" customWidth="1"/>
    <col min="4610" max="4610" width="18.453125" style="173" customWidth="1"/>
    <col min="4611" max="4611" width="14.453125" style="173" customWidth="1"/>
    <col min="4612" max="4612" width="19" style="173" customWidth="1"/>
    <col min="4613" max="4613" width="18.1796875" style="173" customWidth="1"/>
    <col min="4614" max="4614" width="16.1796875" style="173" customWidth="1"/>
    <col min="4615" max="4615" width="17.81640625" style="173" customWidth="1"/>
    <col min="4616" max="4616" width="10.1796875" style="173" customWidth="1"/>
    <col min="4617" max="4617" width="8.54296875" style="173" customWidth="1"/>
    <col min="4618" max="4618" width="18.7265625" style="173" customWidth="1"/>
    <col min="4619" max="4864" width="9.1796875" style="173"/>
    <col min="4865" max="4865" width="30.54296875" style="173" customWidth="1"/>
    <col min="4866" max="4866" width="18.453125" style="173" customWidth="1"/>
    <col min="4867" max="4867" width="14.453125" style="173" customWidth="1"/>
    <col min="4868" max="4868" width="19" style="173" customWidth="1"/>
    <col min="4869" max="4869" width="18.1796875" style="173" customWidth="1"/>
    <col min="4870" max="4870" width="16.1796875" style="173" customWidth="1"/>
    <col min="4871" max="4871" width="17.81640625" style="173" customWidth="1"/>
    <col min="4872" max="4872" width="10.1796875" style="173" customWidth="1"/>
    <col min="4873" max="4873" width="8.54296875" style="173" customWidth="1"/>
    <col min="4874" max="4874" width="18.7265625" style="173" customWidth="1"/>
    <col min="4875" max="5120" width="9.1796875" style="173"/>
    <col min="5121" max="5121" width="30.54296875" style="173" customWidth="1"/>
    <col min="5122" max="5122" width="18.453125" style="173" customWidth="1"/>
    <col min="5123" max="5123" width="14.453125" style="173" customWidth="1"/>
    <col min="5124" max="5124" width="19" style="173" customWidth="1"/>
    <col min="5125" max="5125" width="18.1796875" style="173" customWidth="1"/>
    <col min="5126" max="5126" width="16.1796875" style="173" customWidth="1"/>
    <col min="5127" max="5127" width="17.81640625" style="173" customWidth="1"/>
    <col min="5128" max="5128" width="10.1796875" style="173" customWidth="1"/>
    <col min="5129" max="5129" width="8.54296875" style="173" customWidth="1"/>
    <col min="5130" max="5130" width="18.7265625" style="173" customWidth="1"/>
    <col min="5131" max="5376" width="9.1796875" style="173"/>
    <col min="5377" max="5377" width="30.54296875" style="173" customWidth="1"/>
    <col min="5378" max="5378" width="18.453125" style="173" customWidth="1"/>
    <col min="5379" max="5379" width="14.453125" style="173" customWidth="1"/>
    <col min="5380" max="5380" width="19" style="173" customWidth="1"/>
    <col min="5381" max="5381" width="18.1796875" style="173" customWidth="1"/>
    <col min="5382" max="5382" width="16.1796875" style="173" customWidth="1"/>
    <col min="5383" max="5383" width="17.81640625" style="173" customWidth="1"/>
    <col min="5384" max="5384" width="10.1796875" style="173" customWidth="1"/>
    <col min="5385" max="5385" width="8.54296875" style="173" customWidth="1"/>
    <col min="5386" max="5386" width="18.7265625" style="173" customWidth="1"/>
    <col min="5387" max="5632" width="9.1796875" style="173"/>
    <col min="5633" max="5633" width="30.54296875" style="173" customWidth="1"/>
    <col min="5634" max="5634" width="18.453125" style="173" customWidth="1"/>
    <col min="5635" max="5635" width="14.453125" style="173" customWidth="1"/>
    <col min="5636" max="5636" width="19" style="173" customWidth="1"/>
    <col min="5637" max="5637" width="18.1796875" style="173" customWidth="1"/>
    <col min="5638" max="5638" width="16.1796875" style="173" customWidth="1"/>
    <col min="5639" max="5639" width="17.81640625" style="173" customWidth="1"/>
    <col min="5640" max="5640" width="10.1796875" style="173" customWidth="1"/>
    <col min="5641" max="5641" width="8.54296875" style="173" customWidth="1"/>
    <col min="5642" max="5642" width="18.7265625" style="173" customWidth="1"/>
    <col min="5643" max="5888" width="9.1796875" style="173"/>
    <col min="5889" max="5889" width="30.54296875" style="173" customWidth="1"/>
    <col min="5890" max="5890" width="18.453125" style="173" customWidth="1"/>
    <col min="5891" max="5891" width="14.453125" style="173" customWidth="1"/>
    <col min="5892" max="5892" width="19" style="173" customWidth="1"/>
    <col min="5893" max="5893" width="18.1796875" style="173" customWidth="1"/>
    <col min="5894" max="5894" width="16.1796875" style="173" customWidth="1"/>
    <col min="5895" max="5895" width="17.81640625" style="173" customWidth="1"/>
    <col min="5896" max="5896" width="10.1796875" style="173" customWidth="1"/>
    <col min="5897" max="5897" width="8.54296875" style="173" customWidth="1"/>
    <col min="5898" max="5898" width="18.7265625" style="173" customWidth="1"/>
    <col min="5899" max="6144" width="9.1796875" style="173"/>
    <col min="6145" max="6145" width="30.54296875" style="173" customWidth="1"/>
    <col min="6146" max="6146" width="18.453125" style="173" customWidth="1"/>
    <col min="6147" max="6147" width="14.453125" style="173" customWidth="1"/>
    <col min="6148" max="6148" width="19" style="173" customWidth="1"/>
    <col min="6149" max="6149" width="18.1796875" style="173" customWidth="1"/>
    <col min="6150" max="6150" width="16.1796875" style="173" customWidth="1"/>
    <col min="6151" max="6151" width="17.81640625" style="173" customWidth="1"/>
    <col min="6152" max="6152" width="10.1796875" style="173" customWidth="1"/>
    <col min="6153" max="6153" width="8.54296875" style="173" customWidth="1"/>
    <col min="6154" max="6154" width="18.7265625" style="173" customWidth="1"/>
    <col min="6155" max="6400" width="9.1796875" style="173"/>
    <col min="6401" max="6401" width="30.54296875" style="173" customWidth="1"/>
    <col min="6402" max="6402" width="18.453125" style="173" customWidth="1"/>
    <col min="6403" max="6403" width="14.453125" style="173" customWidth="1"/>
    <col min="6404" max="6404" width="19" style="173" customWidth="1"/>
    <col min="6405" max="6405" width="18.1796875" style="173" customWidth="1"/>
    <col min="6406" max="6406" width="16.1796875" style="173" customWidth="1"/>
    <col min="6407" max="6407" width="17.81640625" style="173" customWidth="1"/>
    <col min="6408" max="6408" width="10.1796875" style="173" customWidth="1"/>
    <col min="6409" max="6409" width="8.54296875" style="173" customWidth="1"/>
    <col min="6410" max="6410" width="18.7265625" style="173" customWidth="1"/>
    <col min="6411" max="6656" width="9.1796875" style="173"/>
    <col min="6657" max="6657" width="30.54296875" style="173" customWidth="1"/>
    <col min="6658" max="6658" width="18.453125" style="173" customWidth="1"/>
    <col min="6659" max="6659" width="14.453125" style="173" customWidth="1"/>
    <col min="6660" max="6660" width="19" style="173" customWidth="1"/>
    <col min="6661" max="6661" width="18.1796875" style="173" customWidth="1"/>
    <col min="6662" max="6662" width="16.1796875" style="173" customWidth="1"/>
    <col min="6663" max="6663" width="17.81640625" style="173" customWidth="1"/>
    <col min="6664" max="6664" width="10.1796875" style="173" customWidth="1"/>
    <col min="6665" max="6665" width="8.54296875" style="173" customWidth="1"/>
    <col min="6666" max="6666" width="18.7265625" style="173" customWidth="1"/>
    <col min="6667" max="6912" width="9.1796875" style="173"/>
    <col min="6913" max="6913" width="30.54296875" style="173" customWidth="1"/>
    <col min="6914" max="6914" width="18.453125" style="173" customWidth="1"/>
    <col min="6915" max="6915" width="14.453125" style="173" customWidth="1"/>
    <col min="6916" max="6916" width="19" style="173" customWidth="1"/>
    <col min="6917" max="6917" width="18.1796875" style="173" customWidth="1"/>
    <col min="6918" max="6918" width="16.1796875" style="173" customWidth="1"/>
    <col min="6919" max="6919" width="17.81640625" style="173" customWidth="1"/>
    <col min="6920" max="6920" width="10.1796875" style="173" customWidth="1"/>
    <col min="6921" max="6921" width="8.54296875" style="173" customWidth="1"/>
    <col min="6922" max="6922" width="18.7265625" style="173" customWidth="1"/>
    <col min="6923" max="7168" width="9.1796875" style="173"/>
    <col min="7169" max="7169" width="30.54296875" style="173" customWidth="1"/>
    <col min="7170" max="7170" width="18.453125" style="173" customWidth="1"/>
    <col min="7171" max="7171" width="14.453125" style="173" customWidth="1"/>
    <col min="7172" max="7172" width="19" style="173" customWidth="1"/>
    <col min="7173" max="7173" width="18.1796875" style="173" customWidth="1"/>
    <col min="7174" max="7174" width="16.1796875" style="173" customWidth="1"/>
    <col min="7175" max="7175" width="17.81640625" style="173" customWidth="1"/>
    <col min="7176" max="7176" width="10.1796875" style="173" customWidth="1"/>
    <col min="7177" max="7177" width="8.54296875" style="173" customWidth="1"/>
    <col min="7178" max="7178" width="18.7265625" style="173" customWidth="1"/>
    <col min="7179" max="7424" width="9.1796875" style="173"/>
    <col min="7425" max="7425" width="30.54296875" style="173" customWidth="1"/>
    <col min="7426" max="7426" width="18.453125" style="173" customWidth="1"/>
    <col min="7427" max="7427" width="14.453125" style="173" customWidth="1"/>
    <col min="7428" max="7428" width="19" style="173" customWidth="1"/>
    <col min="7429" max="7429" width="18.1796875" style="173" customWidth="1"/>
    <col min="7430" max="7430" width="16.1796875" style="173" customWidth="1"/>
    <col min="7431" max="7431" width="17.81640625" style="173" customWidth="1"/>
    <col min="7432" max="7432" width="10.1796875" style="173" customWidth="1"/>
    <col min="7433" max="7433" width="8.54296875" style="173" customWidth="1"/>
    <col min="7434" max="7434" width="18.7265625" style="173" customWidth="1"/>
    <col min="7435" max="7680" width="9.1796875" style="173"/>
    <col min="7681" max="7681" width="30.54296875" style="173" customWidth="1"/>
    <col min="7682" max="7682" width="18.453125" style="173" customWidth="1"/>
    <col min="7683" max="7683" width="14.453125" style="173" customWidth="1"/>
    <col min="7684" max="7684" width="19" style="173" customWidth="1"/>
    <col min="7685" max="7685" width="18.1796875" style="173" customWidth="1"/>
    <col min="7686" max="7686" width="16.1796875" style="173" customWidth="1"/>
    <col min="7687" max="7687" width="17.81640625" style="173" customWidth="1"/>
    <col min="7688" max="7688" width="10.1796875" style="173" customWidth="1"/>
    <col min="7689" max="7689" width="8.54296875" style="173" customWidth="1"/>
    <col min="7690" max="7690" width="18.7265625" style="173" customWidth="1"/>
    <col min="7691" max="7936" width="9.1796875" style="173"/>
    <col min="7937" max="7937" width="30.54296875" style="173" customWidth="1"/>
    <col min="7938" max="7938" width="18.453125" style="173" customWidth="1"/>
    <col min="7939" max="7939" width="14.453125" style="173" customWidth="1"/>
    <col min="7940" max="7940" width="19" style="173" customWidth="1"/>
    <col min="7941" max="7941" width="18.1796875" style="173" customWidth="1"/>
    <col min="7942" max="7942" width="16.1796875" style="173" customWidth="1"/>
    <col min="7943" max="7943" width="17.81640625" style="173" customWidth="1"/>
    <col min="7944" max="7944" width="10.1796875" style="173" customWidth="1"/>
    <col min="7945" max="7945" width="8.54296875" style="173" customWidth="1"/>
    <col min="7946" max="7946" width="18.7265625" style="173" customWidth="1"/>
    <col min="7947" max="8192" width="9.1796875" style="173"/>
    <col min="8193" max="8193" width="30.54296875" style="173" customWidth="1"/>
    <col min="8194" max="8194" width="18.453125" style="173" customWidth="1"/>
    <col min="8195" max="8195" width="14.453125" style="173" customWidth="1"/>
    <col min="8196" max="8196" width="19" style="173" customWidth="1"/>
    <col min="8197" max="8197" width="18.1796875" style="173" customWidth="1"/>
    <col min="8198" max="8198" width="16.1796875" style="173" customWidth="1"/>
    <col min="8199" max="8199" width="17.81640625" style="173" customWidth="1"/>
    <col min="8200" max="8200" width="10.1796875" style="173" customWidth="1"/>
    <col min="8201" max="8201" width="8.54296875" style="173" customWidth="1"/>
    <col min="8202" max="8202" width="18.7265625" style="173" customWidth="1"/>
    <col min="8203" max="8448" width="9.1796875" style="173"/>
    <col min="8449" max="8449" width="30.54296875" style="173" customWidth="1"/>
    <col min="8450" max="8450" width="18.453125" style="173" customWidth="1"/>
    <col min="8451" max="8451" width="14.453125" style="173" customWidth="1"/>
    <col min="8452" max="8452" width="19" style="173" customWidth="1"/>
    <col min="8453" max="8453" width="18.1796875" style="173" customWidth="1"/>
    <col min="8454" max="8454" width="16.1796875" style="173" customWidth="1"/>
    <col min="8455" max="8455" width="17.81640625" style="173" customWidth="1"/>
    <col min="8456" max="8456" width="10.1796875" style="173" customWidth="1"/>
    <col min="8457" max="8457" width="8.54296875" style="173" customWidth="1"/>
    <col min="8458" max="8458" width="18.7265625" style="173" customWidth="1"/>
    <col min="8459" max="8704" width="9.1796875" style="173"/>
    <col min="8705" max="8705" width="30.54296875" style="173" customWidth="1"/>
    <col min="8706" max="8706" width="18.453125" style="173" customWidth="1"/>
    <col min="8707" max="8707" width="14.453125" style="173" customWidth="1"/>
    <col min="8708" max="8708" width="19" style="173" customWidth="1"/>
    <col min="8709" max="8709" width="18.1796875" style="173" customWidth="1"/>
    <col min="8710" max="8710" width="16.1796875" style="173" customWidth="1"/>
    <col min="8711" max="8711" width="17.81640625" style="173" customWidth="1"/>
    <col min="8712" max="8712" width="10.1796875" style="173" customWidth="1"/>
    <col min="8713" max="8713" width="8.54296875" style="173" customWidth="1"/>
    <col min="8714" max="8714" width="18.7265625" style="173" customWidth="1"/>
    <col min="8715" max="8960" width="9.1796875" style="173"/>
    <col min="8961" max="8961" width="30.54296875" style="173" customWidth="1"/>
    <col min="8962" max="8962" width="18.453125" style="173" customWidth="1"/>
    <col min="8963" max="8963" width="14.453125" style="173" customWidth="1"/>
    <col min="8964" max="8964" width="19" style="173" customWidth="1"/>
    <col min="8965" max="8965" width="18.1796875" style="173" customWidth="1"/>
    <col min="8966" max="8966" width="16.1796875" style="173" customWidth="1"/>
    <col min="8967" max="8967" width="17.81640625" style="173" customWidth="1"/>
    <col min="8968" max="8968" width="10.1796875" style="173" customWidth="1"/>
    <col min="8969" max="8969" width="8.54296875" style="173" customWidth="1"/>
    <col min="8970" max="8970" width="18.7265625" style="173" customWidth="1"/>
    <col min="8971" max="9216" width="9.1796875" style="173"/>
    <col min="9217" max="9217" width="30.54296875" style="173" customWidth="1"/>
    <col min="9218" max="9218" width="18.453125" style="173" customWidth="1"/>
    <col min="9219" max="9219" width="14.453125" style="173" customWidth="1"/>
    <col min="9220" max="9220" width="19" style="173" customWidth="1"/>
    <col min="9221" max="9221" width="18.1796875" style="173" customWidth="1"/>
    <col min="9222" max="9222" width="16.1796875" style="173" customWidth="1"/>
    <col min="9223" max="9223" width="17.81640625" style="173" customWidth="1"/>
    <col min="9224" max="9224" width="10.1796875" style="173" customWidth="1"/>
    <col min="9225" max="9225" width="8.54296875" style="173" customWidth="1"/>
    <col min="9226" max="9226" width="18.7265625" style="173" customWidth="1"/>
    <col min="9227" max="9472" width="9.1796875" style="173"/>
    <col min="9473" max="9473" width="30.54296875" style="173" customWidth="1"/>
    <col min="9474" max="9474" width="18.453125" style="173" customWidth="1"/>
    <col min="9475" max="9475" width="14.453125" style="173" customWidth="1"/>
    <col min="9476" max="9476" width="19" style="173" customWidth="1"/>
    <col min="9477" max="9477" width="18.1796875" style="173" customWidth="1"/>
    <col min="9478" max="9478" width="16.1796875" style="173" customWidth="1"/>
    <col min="9479" max="9479" width="17.81640625" style="173" customWidth="1"/>
    <col min="9480" max="9480" width="10.1796875" style="173" customWidth="1"/>
    <col min="9481" max="9481" width="8.54296875" style="173" customWidth="1"/>
    <col min="9482" max="9482" width="18.7265625" style="173" customWidth="1"/>
    <col min="9483" max="9728" width="9.1796875" style="173"/>
    <col min="9729" max="9729" width="30.54296875" style="173" customWidth="1"/>
    <col min="9730" max="9730" width="18.453125" style="173" customWidth="1"/>
    <col min="9731" max="9731" width="14.453125" style="173" customWidth="1"/>
    <col min="9732" max="9732" width="19" style="173" customWidth="1"/>
    <col min="9733" max="9733" width="18.1796875" style="173" customWidth="1"/>
    <col min="9734" max="9734" width="16.1796875" style="173" customWidth="1"/>
    <col min="9735" max="9735" width="17.81640625" style="173" customWidth="1"/>
    <col min="9736" max="9736" width="10.1796875" style="173" customWidth="1"/>
    <col min="9737" max="9737" width="8.54296875" style="173" customWidth="1"/>
    <col min="9738" max="9738" width="18.7265625" style="173" customWidth="1"/>
    <col min="9739" max="9984" width="9.1796875" style="173"/>
    <col min="9985" max="9985" width="30.54296875" style="173" customWidth="1"/>
    <col min="9986" max="9986" width="18.453125" style="173" customWidth="1"/>
    <col min="9987" max="9987" width="14.453125" style="173" customWidth="1"/>
    <col min="9988" max="9988" width="19" style="173" customWidth="1"/>
    <col min="9989" max="9989" width="18.1796875" style="173" customWidth="1"/>
    <col min="9990" max="9990" width="16.1796875" style="173" customWidth="1"/>
    <col min="9991" max="9991" width="17.81640625" style="173" customWidth="1"/>
    <col min="9992" max="9992" width="10.1796875" style="173" customWidth="1"/>
    <col min="9993" max="9993" width="8.54296875" style="173" customWidth="1"/>
    <col min="9994" max="9994" width="18.7265625" style="173" customWidth="1"/>
    <col min="9995" max="10240" width="9.1796875" style="173"/>
    <col min="10241" max="10241" width="30.54296875" style="173" customWidth="1"/>
    <col min="10242" max="10242" width="18.453125" style="173" customWidth="1"/>
    <col min="10243" max="10243" width="14.453125" style="173" customWidth="1"/>
    <col min="10244" max="10244" width="19" style="173" customWidth="1"/>
    <col min="10245" max="10245" width="18.1796875" style="173" customWidth="1"/>
    <col min="10246" max="10246" width="16.1796875" style="173" customWidth="1"/>
    <col min="10247" max="10247" width="17.81640625" style="173" customWidth="1"/>
    <col min="10248" max="10248" width="10.1796875" style="173" customWidth="1"/>
    <col min="10249" max="10249" width="8.54296875" style="173" customWidth="1"/>
    <col min="10250" max="10250" width="18.7265625" style="173" customWidth="1"/>
    <col min="10251" max="10496" width="9.1796875" style="173"/>
    <col min="10497" max="10497" width="30.54296875" style="173" customWidth="1"/>
    <col min="10498" max="10498" width="18.453125" style="173" customWidth="1"/>
    <col min="10499" max="10499" width="14.453125" style="173" customWidth="1"/>
    <col min="10500" max="10500" width="19" style="173" customWidth="1"/>
    <col min="10501" max="10501" width="18.1796875" style="173" customWidth="1"/>
    <col min="10502" max="10502" width="16.1796875" style="173" customWidth="1"/>
    <col min="10503" max="10503" width="17.81640625" style="173" customWidth="1"/>
    <col min="10504" max="10504" width="10.1796875" style="173" customWidth="1"/>
    <col min="10505" max="10505" width="8.54296875" style="173" customWidth="1"/>
    <col min="10506" max="10506" width="18.7265625" style="173" customWidth="1"/>
    <col min="10507" max="10752" width="9.1796875" style="173"/>
    <col min="10753" max="10753" width="30.54296875" style="173" customWidth="1"/>
    <col min="10754" max="10754" width="18.453125" style="173" customWidth="1"/>
    <col min="10755" max="10755" width="14.453125" style="173" customWidth="1"/>
    <col min="10756" max="10756" width="19" style="173" customWidth="1"/>
    <col min="10757" max="10757" width="18.1796875" style="173" customWidth="1"/>
    <col min="10758" max="10758" width="16.1796875" style="173" customWidth="1"/>
    <col min="10759" max="10759" width="17.81640625" style="173" customWidth="1"/>
    <col min="10760" max="10760" width="10.1796875" style="173" customWidth="1"/>
    <col min="10761" max="10761" width="8.54296875" style="173" customWidth="1"/>
    <col min="10762" max="10762" width="18.7265625" style="173" customWidth="1"/>
    <col min="10763" max="11008" width="9.1796875" style="173"/>
    <col min="11009" max="11009" width="30.54296875" style="173" customWidth="1"/>
    <col min="11010" max="11010" width="18.453125" style="173" customWidth="1"/>
    <col min="11011" max="11011" width="14.453125" style="173" customWidth="1"/>
    <col min="11012" max="11012" width="19" style="173" customWidth="1"/>
    <col min="11013" max="11013" width="18.1796875" style="173" customWidth="1"/>
    <col min="11014" max="11014" width="16.1796875" style="173" customWidth="1"/>
    <col min="11015" max="11015" width="17.81640625" style="173" customWidth="1"/>
    <col min="11016" max="11016" width="10.1796875" style="173" customWidth="1"/>
    <col min="11017" max="11017" width="8.54296875" style="173" customWidth="1"/>
    <col min="11018" max="11018" width="18.7265625" style="173" customWidth="1"/>
    <col min="11019" max="11264" width="9.1796875" style="173"/>
    <col min="11265" max="11265" width="30.54296875" style="173" customWidth="1"/>
    <col min="11266" max="11266" width="18.453125" style="173" customWidth="1"/>
    <col min="11267" max="11267" width="14.453125" style="173" customWidth="1"/>
    <col min="11268" max="11268" width="19" style="173" customWidth="1"/>
    <col min="11269" max="11269" width="18.1796875" style="173" customWidth="1"/>
    <col min="11270" max="11270" width="16.1796875" style="173" customWidth="1"/>
    <col min="11271" max="11271" width="17.81640625" style="173" customWidth="1"/>
    <col min="11272" max="11272" width="10.1796875" style="173" customWidth="1"/>
    <col min="11273" max="11273" width="8.54296875" style="173" customWidth="1"/>
    <col min="11274" max="11274" width="18.7265625" style="173" customWidth="1"/>
    <col min="11275" max="11520" width="9.1796875" style="173"/>
    <col min="11521" max="11521" width="30.54296875" style="173" customWidth="1"/>
    <col min="11522" max="11522" width="18.453125" style="173" customWidth="1"/>
    <col min="11523" max="11523" width="14.453125" style="173" customWidth="1"/>
    <col min="11524" max="11524" width="19" style="173" customWidth="1"/>
    <col min="11525" max="11525" width="18.1796875" style="173" customWidth="1"/>
    <col min="11526" max="11526" width="16.1796875" style="173" customWidth="1"/>
    <col min="11527" max="11527" width="17.81640625" style="173" customWidth="1"/>
    <col min="11528" max="11528" width="10.1796875" style="173" customWidth="1"/>
    <col min="11529" max="11529" width="8.54296875" style="173" customWidth="1"/>
    <col min="11530" max="11530" width="18.7265625" style="173" customWidth="1"/>
    <col min="11531" max="11776" width="9.1796875" style="173"/>
    <col min="11777" max="11777" width="30.54296875" style="173" customWidth="1"/>
    <col min="11778" max="11778" width="18.453125" style="173" customWidth="1"/>
    <col min="11779" max="11779" width="14.453125" style="173" customWidth="1"/>
    <col min="11780" max="11780" width="19" style="173" customWidth="1"/>
    <col min="11781" max="11781" width="18.1796875" style="173" customWidth="1"/>
    <col min="11782" max="11782" width="16.1796875" style="173" customWidth="1"/>
    <col min="11783" max="11783" width="17.81640625" style="173" customWidth="1"/>
    <col min="11784" max="11784" width="10.1796875" style="173" customWidth="1"/>
    <col min="11785" max="11785" width="8.54296875" style="173" customWidth="1"/>
    <col min="11786" max="11786" width="18.7265625" style="173" customWidth="1"/>
    <col min="11787" max="12032" width="9.1796875" style="173"/>
    <col min="12033" max="12033" width="30.54296875" style="173" customWidth="1"/>
    <col min="12034" max="12034" width="18.453125" style="173" customWidth="1"/>
    <col min="12035" max="12035" width="14.453125" style="173" customWidth="1"/>
    <col min="12036" max="12036" width="19" style="173" customWidth="1"/>
    <col min="12037" max="12037" width="18.1796875" style="173" customWidth="1"/>
    <col min="12038" max="12038" width="16.1796875" style="173" customWidth="1"/>
    <col min="12039" max="12039" width="17.81640625" style="173" customWidth="1"/>
    <col min="12040" max="12040" width="10.1796875" style="173" customWidth="1"/>
    <col min="12041" max="12041" width="8.54296875" style="173" customWidth="1"/>
    <col min="12042" max="12042" width="18.7265625" style="173" customWidth="1"/>
    <col min="12043" max="12288" width="9.1796875" style="173"/>
    <col min="12289" max="12289" width="30.54296875" style="173" customWidth="1"/>
    <col min="12290" max="12290" width="18.453125" style="173" customWidth="1"/>
    <col min="12291" max="12291" width="14.453125" style="173" customWidth="1"/>
    <col min="12292" max="12292" width="19" style="173" customWidth="1"/>
    <col min="12293" max="12293" width="18.1796875" style="173" customWidth="1"/>
    <col min="12294" max="12294" width="16.1796875" style="173" customWidth="1"/>
    <col min="12295" max="12295" width="17.81640625" style="173" customWidth="1"/>
    <col min="12296" max="12296" width="10.1796875" style="173" customWidth="1"/>
    <col min="12297" max="12297" width="8.54296875" style="173" customWidth="1"/>
    <col min="12298" max="12298" width="18.7265625" style="173" customWidth="1"/>
    <col min="12299" max="12544" width="9.1796875" style="173"/>
    <col min="12545" max="12545" width="30.54296875" style="173" customWidth="1"/>
    <col min="12546" max="12546" width="18.453125" style="173" customWidth="1"/>
    <col min="12547" max="12547" width="14.453125" style="173" customWidth="1"/>
    <col min="12548" max="12548" width="19" style="173" customWidth="1"/>
    <col min="12549" max="12549" width="18.1796875" style="173" customWidth="1"/>
    <col min="12550" max="12550" width="16.1796875" style="173" customWidth="1"/>
    <col min="12551" max="12551" width="17.81640625" style="173" customWidth="1"/>
    <col min="12552" max="12552" width="10.1796875" style="173" customWidth="1"/>
    <col min="12553" max="12553" width="8.54296875" style="173" customWidth="1"/>
    <col min="12554" max="12554" width="18.7265625" style="173" customWidth="1"/>
    <col min="12555" max="12800" width="9.1796875" style="173"/>
    <col min="12801" max="12801" width="30.54296875" style="173" customWidth="1"/>
    <col min="12802" max="12802" width="18.453125" style="173" customWidth="1"/>
    <col min="12803" max="12803" width="14.453125" style="173" customWidth="1"/>
    <col min="12804" max="12804" width="19" style="173" customWidth="1"/>
    <col min="12805" max="12805" width="18.1796875" style="173" customWidth="1"/>
    <col min="12806" max="12806" width="16.1796875" style="173" customWidth="1"/>
    <col min="12807" max="12807" width="17.81640625" style="173" customWidth="1"/>
    <col min="12808" max="12808" width="10.1796875" style="173" customWidth="1"/>
    <col min="12809" max="12809" width="8.54296875" style="173" customWidth="1"/>
    <col min="12810" max="12810" width="18.7265625" style="173" customWidth="1"/>
    <col min="12811" max="13056" width="9.1796875" style="173"/>
    <col min="13057" max="13057" width="30.54296875" style="173" customWidth="1"/>
    <col min="13058" max="13058" width="18.453125" style="173" customWidth="1"/>
    <col min="13059" max="13059" width="14.453125" style="173" customWidth="1"/>
    <col min="13060" max="13060" width="19" style="173" customWidth="1"/>
    <col min="13061" max="13061" width="18.1796875" style="173" customWidth="1"/>
    <col min="13062" max="13062" width="16.1796875" style="173" customWidth="1"/>
    <col min="13063" max="13063" width="17.81640625" style="173" customWidth="1"/>
    <col min="13064" max="13064" width="10.1796875" style="173" customWidth="1"/>
    <col min="13065" max="13065" width="8.54296875" style="173" customWidth="1"/>
    <col min="13066" max="13066" width="18.7265625" style="173" customWidth="1"/>
    <col min="13067" max="13312" width="9.1796875" style="173"/>
    <col min="13313" max="13313" width="30.54296875" style="173" customWidth="1"/>
    <col min="13314" max="13314" width="18.453125" style="173" customWidth="1"/>
    <col min="13315" max="13315" width="14.453125" style="173" customWidth="1"/>
    <col min="13316" max="13316" width="19" style="173" customWidth="1"/>
    <col min="13317" max="13317" width="18.1796875" style="173" customWidth="1"/>
    <col min="13318" max="13318" width="16.1796875" style="173" customWidth="1"/>
    <col min="13319" max="13319" width="17.81640625" style="173" customWidth="1"/>
    <col min="13320" max="13320" width="10.1796875" style="173" customWidth="1"/>
    <col min="13321" max="13321" width="8.54296875" style="173" customWidth="1"/>
    <col min="13322" max="13322" width="18.7265625" style="173" customWidth="1"/>
    <col min="13323" max="13568" width="9.1796875" style="173"/>
    <col min="13569" max="13569" width="30.54296875" style="173" customWidth="1"/>
    <col min="13570" max="13570" width="18.453125" style="173" customWidth="1"/>
    <col min="13571" max="13571" width="14.453125" style="173" customWidth="1"/>
    <col min="13572" max="13572" width="19" style="173" customWidth="1"/>
    <col min="13573" max="13573" width="18.1796875" style="173" customWidth="1"/>
    <col min="13574" max="13574" width="16.1796875" style="173" customWidth="1"/>
    <col min="13575" max="13575" width="17.81640625" style="173" customWidth="1"/>
    <col min="13576" max="13576" width="10.1796875" style="173" customWidth="1"/>
    <col min="13577" max="13577" width="8.54296875" style="173" customWidth="1"/>
    <col min="13578" max="13578" width="18.7265625" style="173" customWidth="1"/>
    <col min="13579" max="13824" width="9.1796875" style="173"/>
    <col min="13825" max="13825" width="30.54296875" style="173" customWidth="1"/>
    <col min="13826" max="13826" width="18.453125" style="173" customWidth="1"/>
    <col min="13827" max="13827" width="14.453125" style="173" customWidth="1"/>
    <col min="13828" max="13828" width="19" style="173" customWidth="1"/>
    <col min="13829" max="13829" width="18.1796875" style="173" customWidth="1"/>
    <col min="13830" max="13830" width="16.1796875" style="173" customWidth="1"/>
    <col min="13831" max="13831" width="17.81640625" style="173" customWidth="1"/>
    <col min="13832" max="13832" width="10.1796875" style="173" customWidth="1"/>
    <col min="13833" max="13833" width="8.54296875" style="173" customWidth="1"/>
    <col min="13834" max="13834" width="18.7265625" style="173" customWidth="1"/>
    <col min="13835" max="14080" width="9.1796875" style="173"/>
    <col min="14081" max="14081" width="30.54296875" style="173" customWidth="1"/>
    <col min="14082" max="14082" width="18.453125" style="173" customWidth="1"/>
    <col min="14083" max="14083" width="14.453125" style="173" customWidth="1"/>
    <col min="14084" max="14084" width="19" style="173" customWidth="1"/>
    <col min="14085" max="14085" width="18.1796875" style="173" customWidth="1"/>
    <col min="14086" max="14086" width="16.1796875" style="173" customWidth="1"/>
    <col min="14087" max="14087" width="17.81640625" style="173" customWidth="1"/>
    <col min="14088" max="14088" width="10.1796875" style="173" customWidth="1"/>
    <col min="14089" max="14089" width="8.54296875" style="173" customWidth="1"/>
    <col min="14090" max="14090" width="18.7265625" style="173" customWidth="1"/>
    <col min="14091" max="14336" width="9.1796875" style="173"/>
    <col min="14337" max="14337" width="30.54296875" style="173" customWidth="1"/>
    <col min="14338" max="14338" width="18.453125" style="173" customWidth="1"/>
    <col min="14339" max="14339" width="14.453125" style="173" customWidth="1"/>
    <col min="14340" max="14340" width="19" style="173" customWidth="1"/>
    <col min="14341" max="14341" width="18.1796875" style="173" customWidth="1"/>
    <col min="14342" max="14342" width="16.1796875" style="173" customWidth="1"/>
    <col min="14343" max="14343" width="17.81640625" style="173" customWidth="1"/>
    <col min="14344" max="14344" width="10.1796875" style="173" customWidth="1"/>
    <col min="14345" max="14345" width="8.54296875" style="173" customWidth="1"/>
    <col min="14346" max="14346" width="18.7265625" style="173" customWidth="1"/>
    <col min="14347" max="14592" width="9.1796875" style="173"/>
    <col min="14593" max="14593" width="30.54296875" style="173" customWidth="1"/>
    <col min="14594" max="14594" width="18.453125" style="173" customWidth="1"/>
    <col min="14595" max="14595" width="14.453125" style="173" customWidth="1"/>
    <col min="14596" max="14596" width="19" style="173" customWidth="1"/>
    <col min="14597" max="14597" width="18.1796875" style="173" customWidth="1"/>
    <col min="14598" max="14598" width="16.1796875" style="173" customWidth="1"/>
    <col min="14599" max="14599" width="17.81640625" style="173" customWidth="1"/>
    <col min="14600" max="14600" width="10.1796875" style="173" customWidth="1"/>
    <col min="14601" max="14601" width="8.54296875" style="173" customWidth="1"/>
    <col min="14602" max="14602" width="18.7265625" style="173" customWidth="1"/>
    <col min="14603" max="14848" width="9.1796875" style="173"/>
    <col min="14849" max="14849" width="30.54296875" style="173" customWidth="1"/>
    <col min="14850" max="14850" width="18.453125" style="173" customWidth="1"/>
    <col min="14851" max="14851" width="14.453125" style="173" customWidth="1"/>
    <col min="14852" max="14852" width="19" style="173" customWidth="1"/>
    <col min="14853" max="14853" width="18.1796875" style="173" customWidth="1"/>
    <col min="14854" max="14854" width="16.1796875" style="173" customWidth="1"/>
    <col min="14855" max="14855" width="17.81640625" style="173" customWidth="1"/>
    <col min="14856" max="14856" width="10.1796875" style="173" customWidth="1"/>
    <col min="14857" max="14857" width="8.54296875" style="173" customWidth="1"/>
    <col min="14858" max="14858" width="18.7265625" style="173" customWidth="1"/>
    <col min="14859" max="15104" width="9.1796875" style="173"/>
    <col min="15105" max="15105" width="30.54296875" style="173" customWidth="1"/>
    <col min="15106" max="15106" width="18.453125" style="173" customWidth="1"/>
    <col min="15107" max="15107" width="14.453125" style="173" customWidth="1"/>
    <col min="15108" max="15108" width="19" style="173" customWidth="1"/>
    <col min="15109" max="15109" width="18.1796875" style="173" customWidth="1"/>
    <col min="15110" max="15110" width="16.1796875" style="173" customWidth="1"/>
    <col min="15111" max="15111" width="17.81640625" style="173" customWidth="1"/>
    <col min="15112" max="15112" width="10.1796875" style="173" customWidth="1"/>
    <col min="15113" max="15113" width="8.54296875" style="173" customWidth="1"/>
    <col min="15114" max="15114" width="18.7265625" style="173" customWidth="1"/>
    <col min="15115" max="15360" width="9.1796875" style="173"/>
    <col min="15361" max="15361" width="30.54296875" style="173" customWidth="1"/>
    <col min="15362" max="15362" width="18.453125" style="173" customWidth="1"/>
    <col min="15363" max="15363" width="14.453125" style="173" customWidth="1"/>
    <col min="15364" max="15364" width="19" style="173" customWidth="1"/>
    <col min="15365" max="15365" width="18.1796875" style="173" customWidth="1"/>
    <col min="15366" max="15366" width="16.1796875" style="173" customWidth="1"/>
    <col min="15367" max="15367" width="17.81640625" style="173" customWidth="1"/>
    <col min="15368" max="15368" width="10.1796875" style="173" customWidth="1"/>
    <col min="15369" max="15369" width="8.54296875" style="173" customWidth="1"/>
    <col min="15370" max="15370" width="18.7265625" style="173" customWidth="1"/>
    <col min="15371" max="15616" width="9.1796875" style="173"/>
    <col min="15617" max="15617" width="30.54296875" style="173" customWidth="1"/>
    <col min="15618" max="15618" width="18.453125" style="173" customWidth="1"/>
    <col min="15619" max="15619" width="14.453125" style="173" customWidth="1"/>
    <col min="15620" max="15620" width="19" style="173" customWidth="1"/>
    <col min="15621" max="15621" width="18.1796875" style="173" customWidth="1"/>
    <col min="15622" max="15622" width="16.1796875" style="173" customWidth="1"/>
    <col min="15623" max="15623" width="17.81640625" style="173" customWidth="1"/>
    <col min="15624" max="15624" width="10.1796875" style="173" customWidth="1"/>
    <col min="15625" max="15625" width="8.54296875" style="173" customWidth="1"/>
    <col min="15626" max="15626" width="18.7265625" style="173" customWidth="1"/>
    <col min="15627" max="15872" width="9.1796875" style="173"/>
    <col min="15873" max="15873" width="30.54296875" style="173" customWidth="1"/>
    <col min="15874" max="15874" width="18.453125" style="173" customWidth="1"/>
    <col min="15875" max="15875" width="14.453125" style="173" customWidth="1"/>
    <col min="15876" max="15876" width="19" style="173" customWidth="1"/>
    <col min="15877" max="15877" width="18.1796875" style="173" customWidth="1"/>
    <col min="15878" max="15878" width="16.1796875" style="173" customWidth="1"/>
    <col min="15879" max="15879" width="17.81640625" style="173" customWidth="1"/>
    <col min="15880" max="15880" width="10.1796875" style="173" customWidth="1"/>
    <col min="15881" max="15881" width="8.54296875" style="173" customWidth="1"/>
    <col min="15882" max="15882" width="18.7265625" style="173" customWidth="1"/>
    <col min="15883" max="16128" width="9.1796875" style="173"/>
    <col min="16129" max="16129" width="30.54296875" style="173" customWidth="1"/>
    <col min="16130" max="16130" width="18.453125" style="173" customWidth="1"/>
    <col min="16131" max="16131" width="14.453125" style="173" customWidth="1"/>
    <col min="16132" max="16132" width="19" style="173" customWidth="1"/>
    <col min="16133" max="16133" width="18.1796875" style="173" customWidth="1"/>
    <col min="16134" max="16134" width="16.1796875" style="173" customWidth="1"/>
    <col min="16135" max="16135" width="17.81640625" style="173" customWidth="1"/>
    <col min="16136" max="16136" width="10.1796875" style="173" customWidth="1"/>
    <col min="16137" max="16137" width="8.54296875" style="173" customWidth="1"/>
    <col min="16138" max="16138" width="18.7265625" style="173" customWidth="1"/>
    <col min="16139" max="16384" width="9.1796875" style="173"/>
  </cols>
  <sheetData>
    <row r="1" spans="1:11" ht="20" x14ac:dyDescent="0.4">
      <c r="A1" s="171" t="s">
        <v>275</v>
      </c>
    </row>
    <row r="2" spans="1:11" ht="20" x14ac:dyDescent="0.4">
      <c r="A2" s="171"/>
    </row>
    <row r="3" spans="1:11" ht="13" x14ac:dyDescent="0.3">
      <c r="A3" s="174" t="s">
        <v>276</v>
      </c>
      <c r="B3" s="175"/>
    </row>
    <row r="4" spans="1:11" ht="13" x14ac:dyDescent="0.3">
      <c r="A4" s="176" t="s">
        <v>277</v>
      </c>
    </row>
    <row r="5" spans="1:11" ht="13" thickBot="1" x14ac:dyDescent="0.3"/>
    <row r="6" spans="1:11" s="177" customFormat="1" ht="56.25" customHeight="1" thickBot="1" x14ac:dyDescent="0.3">
      <c r="A6" s="178" t="s">
        <v>278</v>
      </c>
      <c r="B6" s="179" t="s">
        <v>279</v>
      </c>
      <c r="C6" s="180" t="s">
        <v>280</v>
      </c>
      <c r="D6" s="181" t="s">
        <v>281</v>
      </c>
      <c r="E6" s="182" t="s">
        <v>282</v>
      </c>
      <c r="F6" s="182" t="s">
        <v>283</v>
      </c>
      <c r="G6" s="183" t="s">
        <v>281</v>
      </c>
      <c r="H6" s="180" t="s">
        <v>284</v>
      </c>
      <c r="I6" s="180" t="s">
        <v>285</v>
      </c>
      <c r="J6" s="184" t="s">
        <v>281</v>
      </c>
      <c r="K6" s="177" t="s">
        <v>286</v>
      </c>
    </row>
    <row r="7" spans="1:11" ht="15" thickTop="1" x14ac:dyDescent="0.35">
      <c r="A7" s="185" t="s">
        <v>287</v>
      </c>
      <c r="B7" s="186" t="s">
        <v>288</v>
      </c>
      <c r="C7" s="187">
        <f>(2*MWAl)+(3*MWS)+(12*MWO)+(14*2*MWH)+(14*MWO)</f>
        <v>594.34868000000006</v>
      </c>
      <c r="D7" s="188" t="s">
        <v>289</v>
      </c>
      <c r="E7" s="189" t="s">
        <v>290</v>
      </c>
      <c r="F7" s="190">
        <f>ROUND(5.37/8.34*100,1)</f>
        <v>64.400000000000006</v>
      </c>
      <c r="G7" s="191" t="s">
        <v>291</v>
      </c>
      <c r="H7" s="192">
        <f>I7*8.34</f>
        <v>11.133899999999999</v>
      </c>
      <c r="I7" s="193">
        <v>1.335</v>
      </c>
      <c r="J7" s="194" t="s">
        <v>292</v>
      </c>
      <c r="K7" s="195" t="s">
        <v>293</v>
      </c>
    </row>
    <row r="8" spans="1:11" ht="14.5" x14ac:dyDescent="0.35">
      <c r="A8" s="196" t="s">
        <v>294</v>
      </c>
      <c r="B8" s="197" t="s">
        <v>295</v>
      </c>
      <c r="C8" s="198">
        <f>(2*MWNa)+(2*MWAl)+(4*MWO)</f>
        <v>163.94022000000001</v>
      </c>
      <c r="D8" s="199" t="s">
        <v>296</v>
      </c>
      <c r="E8" s="200" t="s">
        <v>297</v>
      </c>
      <c r="F8" s="201">
        <v>31</v>
      </c>
      <c r="G8" s="202" t="s">
        <v>298</v>
      </c>
      <c r="H8" s="203">
        <f>I8*8.34</f>
        <v>12.009599999999999</v>
      </c>
      <c r="I8" s="204">
        <v>1.44</v>
      </c>
      <c r="J8" s="205" t="s">
        <v>299</v>
      </c>
      <c r="K8" s="195" t="s">
        <v>300</v>
      </c>
    </row>
    <row r="9" spans="1:11" ht="27" customHeight="1" x14ac:dyDescent="0.35">
      <c r="A9" s="206" t="s">
        <v>301</v>
      </c>
      <c r="B9" s="207" t="s">
        <v>302</v>
      </c>
      <c r="C9" s="208">
        <v>174.45</v>
      </c>
      <c r="D9" s="209" t="s">
        <v>303</v>
      </c>
      <c r="E9" s="210" t="s">
        <v>304</v>
      </c>
      <c r="F9" s="201">
        <v>51</v>
      </c>
      <c r="G9" s="202" t="s">
        <v>305</v>
      </c>
      <c r="H9" s="203">
        <f>I9*8.34</f>
        <v>10.007999999999999</v>
      </c>
      <c r="I9" s="204">
        <v>1.2</v>
      </c>
      <c r="J9" s="205" t="s">
        <v>306</v>
      </c>
      <c r="K9" s="195" t="s">
        <v>307</v>
      </c>
    </row>
    <row r="10" spans="1:11" ht="14.5" x14ac:dyDescent="0.35">
      <c r="A10" s="211" t="s">
        <v>308</v>
      </c>
      <c r="B10" s="186" t="s">
        <v>309</v>
      </c>
      <c r="C10" s="212">
        <f>MWFe+(3*MWCl)</f>
        <v>162.20600000000002</v>
      </c>
      <c r="D10" s="199" t="s">
        <v>310</v>
      </c>
      <c r="E10" s="200" t="s">
        <v>311</v>
      </c>
      <c r="F10" s="201">
        <v>40</v>
      </c>
      <c r="G10" s="202" t="s">
        <v>312</v>
      </c>
      <c r="H10" s="203">
        <f>I10*3.785*2.2</f>
        <v>11.824340000000001</v>
      </c>
      <c r="I10" s="204">
        <v>1.42</v>
      </c>
      <c r="J10" s="205" t="s">
        <v>313</v>
      </c>
      <c r="K10" s="195" t="s">
        <v>314</v>
      </c>
    </row>
    <row r="11" spans="1:11" ht="14.5" x14ac:dyDescent="0.35">
      <c r="A11" s="196" t="s">
        <v>315</v>
      </c>
      <c r="B11" s="213" t="s">
        <v>316</v>
      </c>
      <c r="C11" s="214">
        <f>(2*MWFe)+MWS+(4*MWO)</f>
        <v>207.75160000000002</v>
      </c>
      <c r="D11" s="199" t="s">
        <v>317</v>
      </c>
      <c r="E11" s="200" t="s">
        <v>318</v>
      </c>
      <c r="F11" s="201">
        <v>12.5</v>
      </c>
      <c r="G11" s="202" t="s">
        <v>319</v>
      </c>
      <c r="H11" s="203">
        <f>I11*8.34</f>
        <v>11.9262</v>
      </c>
      <c r="I11" s="204">
        <v>1.43</v>
      </c>
      <c r="J11" s="205" t="s">
        <v>320</v>
      </c>
      <c r="K11" s="195" t="s">
        <v>321</v>
      </c>
    </row>
    <row r="12" spans="1:11" x14ac:dyDescent="0.25">
      <c r="A12" s="196" t="s">
        <v>322</v>
      </c>
      <c r="B12" s="213" t="s">
        <v>323</v>
      </c>
      <c r="C12" s="214">
        <f>MWCa+MWO</f>
        <v>56.0794</v>
      </c>
      <c r="D12" s="199" t="s">
        <v>324</v>
      </c>
      <c r="E12" s="200" t="s">
        <v>325</v>
      </c>
      <c r="F12" s="215" t="s">
        <v>326</v>
      </c>
      <c r="G12" s="216"/>
      <c r="H12" s="203"/>
      <c r="I12" s="217"/>
      <c r="J12" s="218"/>
    </row>
    <row r="13" spans="1:11" ht="15" thickBot="1" x14ac:dyDescent="0.4">
      <c r="A13" s="219" t="s">
        <v>327</v>
      </c>
      <c r="B13" s="220" t="s">
        <v>328</v>
      </c>
      <c r="C13" s="221">
        <f>MWCa+(3*MWO)+(3*MWH)</f>
        <v>91.101900000000001</v>
      </c>
      <c r="D13" s="222" t="s">
        <v>329</v>
      </c>
      <c r="E13" s="223" t="s">
        <v>330</v>
      </c>
      <c r="F13" s="224" t="s">
        <v>326</v>
      </c>
      <c r="G13" s="225"/>
      <c r="H13" s="226"/>
      <c r="I13" s="227"/>
      <c r="J13" s="228"/>
    </row>
    <row r="14" spans="1:11" x14ac:dyDescent="0.25">
      <c r="A14" s="229" t="s">
        <v>331</v>
      </c>
      <c r="B14" s="230"/>
      <c r="C14" s="231"/>
      <c r="D14" s="232"/>
      <c r="E14" s="233"/>
      <c r="F14" s="234"/>
      <c r="G14" s="234"/>
      <c r="H14" s="234"/>
      <c r="I14" s="235"/>
      <c r="J14" s="235"/>
    </row>
    <row r="16" spans="1:11" x14ac:dyDescent="0.25">
      <c r="A16" s="177" t="s">
        <v>332</v>
      </c>
    </row>
    <row r="17" spans="1:4" ht="13" x14ac:dyDescent="0.3">
      <c r="A17" s="236" t="s">
        <v>333</v>
      </c>
      <c r="B17" s="237">
        <v>2</v>
      </c>
      <c r="C17" s="173" t="s">
        <v>334</v>
      </c>
    </row>
    <row r="18" spans="1:4" ht="13" x14ac:dyDescent="0.3">
      <c r="A18" s="236" t="s">
        <v>333</v>
      </c>
      <c r="B18" s="237">
        <v>7</v>
      </c>
      <c r="C18" s="173" t="s">
        <v>335</v>
      </c>
    </row>
    <row r="19" spans="1:4" ht="13" x14ac:dyDescent="0.3">
      <c r="A19" s="236" t="s">
        <v>336</v>
      </c>
      <c r="B19" s="237">
        <v>1</v>
      </c>
      <c r="C19" s="173" t="s">
        <v>337</v>
      </c>
      <c r="D19" s="238" t="s">
        <v>338</v>
      </c>
    </row>
    <row r="20" spans="1:4" ht="13" x14ac:dyDescent="0.3">
      <c r="A20" s="236" t="s">
        <v>339</v>
      </c>
      <c r="B20" s="237">
        <v>250</v>
      </c>
      <c r="C20" s="173" t="s">
        <v>340</v>
      </c>
      <c r="D20" s="238" t="s">
        <v>341</v>
      </c>
    </row>
    <row r="21" spans="1:4" ht="13" x14ac:dyDescent="0.3">
      <c r="A21" s="236" t="s">
        <v>342</v>
      </c>
      <c r="B21" s="237">
        <v>10</v>
      </c>
      <c r="C21" s="173" t="s">
        <v>343</v>
      </c>
      <c r="D21" s="238" t="s">
        <v>344</v>
      </c>
    </row>
    <row r="22" spans="1:4" ht="13" x14ac:dyDescent="0.3">
      <c r="A22" s="236" t="s">
        <v>345</v>
      </c>
      <c r="B22" s="237">
        <v>1.5</v>
      </c>
      <c r="C22" s="173" t="s">
        <v>343</v>
      </c>
      <c r="D22" s="238" t="s">
        <v>346</v>
      </c>
    </row>
    <row r="23" spans="1:4" x14ac:dyDescent="0.25">
      <c r="A23" s="236"/>
    </row>
    <row r="24" spans="1:4" x14ac:dyDescent="0.25">
      <c r="A24" s="236" t="s">
        <v>347</v>
      </c>
      <c r="B24" s="239">
        <v>26.981539999999999</v>
      </c>
      <c r="C24" s="173" t="s">
        <v>348</v>
      </c>
      <c r="D24" s="238" t="s">
        <v>349</v>
      </c>
    </row>
    <row r="25" spans="1:4" x14ac:dyDescent="0.25">
      <c r="A25" s="236" t="s">
        <v>350</v>
      </c>
      <c r="B25" s="239">
        <v>40.08</v>
      </c>
      <c r="C25" s="173" t="s">
        <v>348</v>
      </c>
      <c r="D25" s="238" t="s">
        <v>351</v>
      </c>
    </row>
    <row r="26" spans="1:4" x14ac:dyDescent="0.25">
      <c r="A26" s="236" t="s">
        <v>352</v>
      </c>
      <c r="B26" s="239">
        <v>35.453000000000003</v>
      </c>
      <c r="C26" s="173" t="s">
        <v>348</v>
      </c>
      <c r="D26" s="238" t="s">
        <v>353</v>
      </c>
    </row>
    <row r="27" spans="1:4" x14ac:dyDescent="0.25">
      <c r="A27" s="236" t="s">
        <v>354</v>
      </c>
      <c r="B27" s="239">
        <v>55.847000000000001</v>
      </c>
      <c r="C27" s="173" t="s">
        <v>348</v>
      </c>
      <c r="D27" s="238" t="s">
        <v>355</v>
      </c>
    </row>
    <row r="28" spans="1:4" x14ac:dyDescent="0.25">
      <c r="A28" s="236" t="s">
        <v>356</v>
      </c>
      <c r="B28" s="239">
        <v>1.0079</v>
      </c>
      <c r="C28" s="173" t="s">
        <v>348</v>
      </c>
      <c r="D28" s="238" t="s">
        <v>357</v>
      </c>
    </row>
    <row r="29" spans="1:4" x14ac:dyDescent="0.25">
      <c r="A29" s="236" t="s">
        <v>358</v>
      </c>
      <c r="B29" s="239">
        <v>22.98977</v>
      </c>
      <c r="C29" s="173" t="s">
        <v>348</v>
      </c>
      <c r="D29" s="238" t="s">
        <v>359</v>
      </c>
    </row>
    <row r="30" spans="1:4" x14ac:dyDescent="0.25">
      <c r="A30" s="236" t="s">
        <v>360</v>
      </c>
      <c r="B30" s="239">
        <v>15.9994</v>
      </c>
      <c r="C30" s="173" t="s">
        <v>348</v>
      </c>
      <c r="D30" s="238" t="s">
        <v>361</v>
      </c>
    </row>
    <row r="31" spans="1:4" x14ac:dyDescent="0.25">
      <c r="A31" s="236" t="s">
        <v>362</v>
      </c>
      <c r="B31" s="239">
        <v>30.973759999999999</v>
      </c>
      <c r="C31" s="173" t="s">
        <v>348</v>
      </c>
      <c r="D31" s="238" t="s">
        <v>363</v>
      </c>
    </row>
    <row r="32" spans="1:4" x14ac:dyDescent="0.25">
      <c r="A32" s="236" t="s">
        <v>364</v>
      </c>
      <c r="B32" s="239">
        <v>32.06</v>
      </c>
      <c r="C32" s="173" t="s">
        <v>348</v>
      </c>
      <c r="D32" s="238" t="s">
        <v>365</v>
      </c>
    </row>
    <row r="33" spans="1:7" x14ac:dyDescent="0.25">
      <c r="A33" s="173"/>
      <c r="B33" s="240"/>
    </row>
    <row r="34" spans="1:7" ht="13" x14ac:dyDescent="0.3">
      <c r="A34" s="176" t="s">
        <v>366</v>
      </c>
    </row>
    <row r="36" spans="1:7" x14ac:dyDescent="0.25">
      <c r="A36" s="176" t="s">
        <v>367</v>
      </c>
    </row>
    <row r="37" spans="1:7" ht="13" thickBot="1" x14ac:dyDescent="0.3">
      <c r="A37" s="176"/>
    </row>
    <row r="38" spans="1:7" ht="30.75" customHeight="1" thickBot="1" x14ac:dyDescent="0.3">
      <c r="A38" s="178" t="s">
        <v>278</v>
      </c>
      <c r="B38" s="180" t="s">
        <v>368</v>
      </c>
      <c r="C38" s="241" t="s">
        <v>12</v>
      </c>
      <c r="D38" s="242" t="s">
        <v>281</v>
      </c>
    </row>
    <row r="39" spans="1:7" ht="13" thickTop="1" x14ac:dyDescent="0.25">
      <c r="A39" s="243" t="s">
        <v>369</v>
      </c>
      <c r="B39" s="244">
        <f>PercentAlum*percent_to_mgperliter*DenseAlum/mg_to_grams/g_to_kg</f>
        <v>0.85974000000000006</v>
      </c>
      <c r="C39" s="245" t="s">
        <v>370</v>
      </c>
      <c r="D39" s="246" t="s">
        <v>371</v>
      </c>
      <c r="F39" s="173" t="s">
        <v>372</v>
      </c>
    </row>
    <row r="40" spans="1:7" x14ac:dyDescent="0.25">
      <c r="A40" s="247" t="str">
        <f>A8</f>
        <v>Sodium Aluminate</v>
      </c>
      <c r="B40" s="248">
        <f>PercentNaAluminate*percent_to_mgperliter*DenseNaAluminate/mg_to_grams/g_to_kg</f>
        <v>0.44639999999999996</v>
      </c>
      <c r="C40" s="249" t="s">
        <v>370</v>
      </c>
      <c r="D40" s="250" t="s">
        <v>373</v>
      </c>
      <c r="F40" s="251">
        <v>10000</v>
      </c>
      <c r="G40" s="252" t="s">
        <v>374</v>
      </c>
    </row>
    <row r="41" spans="1:7" x14ac:dyDescent="0.25">
      <c r="A41" s="247" t="str">
        <f>A9</f>
        <v>Polyaluminum chloride (PAC)</v>
      </c>
      <c r="B41" s="248">
        <f>PercentPAC*percent_to_mgperliter*DensePAC/mg_to_grams/g_to_kg</f>
        <v>0.61199999999999999</v>
      </c>
      <c r="C41" s="249" t="s">
        <v>370</v>
      </c>
      <c r="D41" s="250" t="s">
        <v>375</v>
      </c>
      <c r="F41" s="251">
        <v>1000</v>
      </c>
      <c r="G41" s="173" t="s">
        <v>376</v>
      </c>
    </row>
    <row r="42" spans="1:7" x14ac:dyDescent="0.25">
      <c r="A42" s="247" t="str">
        <f>A10</f>
        <v>Ferric chloride</v>
      </c>
      <c r="B42" s="248">
        <f>PercentFeCl2*percent_to_mgperliter*DenseFeCl2/mg_to_grams/g_to_kg</f>
        <v>0.56799999999999995</v>
      </c>
      <c r="C42" s="249" t="s">
        <v>370</v>
      </c>
      <c r="D42" s="250" t="s">
        <v>377</v>
      </c>
      <c r="F42" s="251">
        <v>1000</v>
      </c>
      <c r="G42" s="173" t="s">
        <v>378</v>
      </c>
    </row>
    <row r="43" spans="1:7" ht="15" thickBot="1" x14ac:dyDescent="0.4">
      <c r="A43" s="253" t="str">
        <f>A11</f>
        <v>Ferric sulfate</v>
      </c>
      <c r="B43" s="254">
        <f>PercentFeSO4*percent_to_mgperliter*DenseFeSO4/mg_to_grams/g_to_kg</f>
        <v>0.17874999999999999</v>
      </c>
      <c r="C43" s="255" t="s">
        <v>370</v>
      </c>
      <c r="D43" s="256" t="s">
        <v>379</v>
      </c>
      <c r="F43" t="s">
        <v>380</v>
      </c>
    </row>
    <row r="45" spans="1:7" x14ac:dyDescent="0.25">
      <c r="A45" s="176" t="s">
        <v>381</v>
      </c>
    </row>
    <row r="46" spans="1:7" ht="13" thickBot="1" x14ac:dyDescent="0.3">
      <c r="A46" s="176"/>
    </row>
    <row r="47" spans="1:7" s="177" customFormat="1" ht="37.5" x14ac:dyDescent="0.25">
      <c r="A47" s="257" t="s">
        <v>278</v>
      </c>
      <c r="B47" s="258" t="s">
        <v>382</v>
      </c>
      <c r="C47" s="258" t="s">
        <v>383</v>
      </c>
      <c r="D47" s="258" t="s">
        <v>384</v>
      </c>
      <c r="E47" s="258" t="s">
        <v>281</v>
      </c>
      <c r="F47" s="258" t="s">
        <v>385</v>
      </c>
      <c r="G47" s="259" t="s">
        <v>281</v>
      </c>
    </row>
    <row r="48" spans="1:7" x14ac:dyDescent="0.25">
      <c r="A48" s="247" t="str">
        <f>A39</f>
        <v>Liquid Alum</v>
      </c>
      <c r="B48" s="214">
        <f>MWAl</f>
        <v>26.981539999999999</v>
      </c>
      <c r="C48" s="214">
        <f>MWAlum</f>
        <v>594.34868000000006</v>
      </c>
      <c r="D48" s="260">
        <f>2*B48/C48</f>
        <v>9.0793639854638855E-2</v>
      </c>
      <c r="E48" s="199" t="s">
        <v>386</v>
      </c>
      <c r="F48" s="248">
        <f>WeightAlum*AtoPAlum</f>
        <v>7.8058923928627219E-2</v>
      </c>
      <c r="G48" s="261" t="s">
        <v>387</v>
      </c>
    </row>
    <row r="49" spans="1:7" x14ac:dyDescent="0.25">
      <c r="A49" s="247" t="str">
        <f>A40</f>
        <v>Sodium Aluminate</v>
      </c>
      <c r="B49" s="214">
        <f>MWAl</f>
        <v>26.981539999999999</v>
      </c>
      <c r="C49" s="214">
        <f>MWSodiumAluminate</f>
        <v>163.94022000000001</v>
      </c>
      <c r="D49" s="260">
        <f>2*B49/C49</f>
        <v>0.329163154715786</v>
      </c>
      <c r="E49" s="199" t="s">
        <v>388</v>
      </c>
      <c r="F49" s="248">
        <f>WeightNaAluminate*AtoPNaAluminate</f>
        <v>0.14693843226512684</v>
      </c>
      <c r="G49" s="261" t="s">
        <v>389</v>
      </c>
    </row>
    <row r="50" spans="1:7" x14ac:dyDescent="0.25">
      <c r="A50" s="247" t="str">
        <f>A41</f>
        <v>Polyaluminum chloride (PAC)</v>
      </c>
      <c r="B50" s="214">
        <f>MWAl</f>
        <v>26.981539999999999</v>
      </c>
      <c r="C50" s="214">
        <f>MWPAC</f>
        <v>174.45</v>
      </c>
      <c r="D50" s="260">
        <f>2*B50/C50</f>
        <v>0.30933264545715106</v>
      </c>
      <c r="E50" s="199" t="s">
        <v>390</v>
      </c>
      <c r="F50" s="248">
        <f>WeightPAC*AtoPPAC</f>
        <v>0.18931157901977644</v>
      </c>
      <c r="G50" s="261" t="s">
        <v>391</v>
      </c>
    </row>
    <row r="51" spans="1:7" x14ac:dyDescent="0.25">
      <c r="A51" s="247" t="str">
        <f>A42</f>
        <v>Ferric chloride</v>
      </c>
      <c r="B51" s="214">
        <f>MWFe</f>
        <v>55.847000000000001</v>
      </c>
      <c r="C51" s="214">
        <f>MWFerricCl</f>
        <v>162.20600000000002</v>
      </c>
      <c r="D51" s="260">
        <f>B51/C51</f>
        <v>0.34429675844296753</v>
      </c>
      <c r="E51" s="199" t="s">
        <v>392</v>
      </c>
      <c r="F51" s="248">
        <f>WeightFeCl2*FetoFeCl2</f>
        <v>0.19556055879560555</v>
      </c>
      <c r="G51" s="261" t="s">
        <v>393</v>
      </c>
    </row>
    <row r="52" spans="1:7" ht="13" thickBot="1" x14ac:dyDescent="0.3">
      <c r="A52" s="253" t="str">
        <f>A43</f>
        <v>Ferric sulfate</v>
      </c>
      <c r="B52" s="221">
        <f>MWFe</f>
        <v>55.847000000000001</v>
      </c>
      <c r="C52" s="221">
        <f>MWFerricSO4</f>
        <v>207.75160000000002</v>
      </c>
      <c r="D52" s="254">
        <f>2*B52/C52</f>
        <v>0.53763244181994263</v>
      </c>
      <c r="E52" s="222" t="s">
        <v>394</v>
      </c>
      <c r="F52" s="262">
        <f>WeightFeSO4*FetoFeSO4</f>
        <v>9.6101798975314748E-2</v>
      </c>
      <c r="G52" s="263" t="s">
        <v>395</v>
      </c>
    </row>
    <row r="54" spans="1:7" ht="13" x14ac:dyDescent="0.3">
      <c r="A54" s="176" t="s">
        <v>396</v>
      </c>
    </row>
    <row r="56" spans="1:7" ht="13" x14ac:dyDescent="0.3">
      <c r="A56" s="177" t="s">
        <v>397</v>
      </c>
      <c r="B56" s="201">
        <v>2</v>
      </c>
      <c r="C56" s="173" t="s">
        <v>398</v>
      </c>
    </row>
    <row r="57" spans="1:7" x14ac:dyDescent="0.25">
      <c r="A57" s="264" t="s">
        <v>399</v>
      </c>
    </row>
    <row r="58" spans="1:7" x14ac:dyDescent="0.25">
      <c r="A58" s="264" t="s">
        <v>400</v>
      </c>
    </row>
    <row r="59" spans="1:7" x14ac:dyDescent="0.25">
      <c r="A59" s="264" t="s">
        <v>401</v>
      </c>
    </row>
    <row r="60" spans="1:7" x14ac:dyDescent="0.25">
      <c r="A60" s="265" t="str">
        <f>IF(AND(Peff&lt;=0.7,B56&lt;6),"WARNING:  Me to P ratio is too low!  For P less than 1.0 mg/L, Me:P ratio may need to be increased."," ")</f>
        <v xml:space="preserve"> </v>
      </c>
    </row>
    <row r="61" spans="1:7" ht="13" thickBot="1" x14ac:dyDescent="0.3">
      <c r="A61" s="265"/>
    </row>
    <row r="62" spans="1:7" ht="13" thickBot="1" x14ac:dyDescent="0.3">
      <c r="A62" s="178" t="s">
        <v>35</v>
      </c>
      <c r="B62" s="241" t="s">
        <v>402</v>
      </c>
      <c r="C62" s="241" t="s">
        <v>12</v>
      </c>
      <c r="D62" s="266" t="s">
        <v>281</v>
      </c>
    </row>
    <row r="63" spans="1:7" ht="13" thickTop="1" x14ac:dyDescent="0.25">
      <c r="A63" s="267" t="s">
        <v>403</v>
      </c>
      <c r="B63" s="268">
        <f>ROUND(Me_to_P_Ratio*(MWFe/MWP),2)</f>
        <v>3.61</v>
      </c>
      <c r="C63" s="245" t="s">
        <v>404</v>
      </c>
      <c r="D63" s="269" t="s">
        <v>405</v>
      </c>
    </row>
    <row r="64" spans="1:7" ht="13" thickBot="1" x14ac:dyDescent="0.3">
      <c r="A64" s="219" t="s">
        <v>406</v>
      </c>
      <c r="B64" s="255">
        <f>ROUND(Me_to_P_Ratio*MWAl/MWP,2)</f>
        <v>1.74</v>
      </c>
      <c r="C64" s="255" t="s">
        <v>407</v>
      </c>
      <c r="D64" s="263" t="s">
        <v>408</v>
      </c>
    </row>
    <row r="66" spans="1:4" ht="13" x14ac:dyDescent="0.3">
      <c r="A66" s="176" t="s">
        <v>409</v>
      </c>
    </row>
    <row r="67" spans="1:4" ht="13" thickBot="1" x14ac:dyDescent="0.3"/>
    <row r="68" spans="1:4" ht="13" thickBot="1" x14ac:dyDescent="0.3">
      <c r="A68" s="270" t="s">
        <v>278</v>
      </c>
      <c r="B68" s="271" t="s">
        <v>410</v>
      </c>
      <c r="C68" s="272" t="s">
        <v>281</v>
      </c>
    </row>
    <row r="69" spans="1:4" x14ac:dyDescent="0.25">
      <c r="A69" s="243" t="str">
        <f>A48</f>
        <v>Liquid Alum</v>
      </c>
      <c r="B69" s="212">
        <f>AlRatio/MeLAlum</f>
        <v>22.290853017535319</v>
      </c>
      <c r="C69" s="269" t="s">
        <v>411</v>
      </c>
    </row>
    <row r="70" spans="1:4" x14ac:dyDescent="0.25">
      <c r="A70" s="247" t="str">
        <f>A49</f>
        <v>Sodium Aluminate</v>
      </c>
      <c r="B70" s="273">
        <f>AlRatio/MeLNaAluminate</f>
        <v>11.84169432855013</v>
      </c>
      <c r="C70" s="274" t="s">
        <v>412</v>
      </c>
    </row>
    <row r="71" spans="1:4" x14ac:dyDescent="0.25">
      <c r="A71" s="247" t="str">
        <f>A50</f>
        <v>Polyaluminum chloride (PAC)</v>
      </c>
      <c r="B71" s="273">
        <f>AlRatio/MeLPAC</f>
        <v>9.1911969093989274</v>
      </c>
      <c r="C71" s="261" t="s">
        <v>413</v>
      </c>
    </row>
    <row r="72" spans="1:4" x14ac:dyDescent="0.25">
      <c r="A72" s="247" t="str">
        <f>A51</f>
        <v>Ferric chloride</v>
      </c>
      <c r="B72" s="273">
        <f>FeRatio/MeLFeCl2</f>
        <v>18.459754984506212</v>
      </c>
      <c r="C72" s="261" t="s">
        <v>414</v>
      </c>
    </row>
    <row r="73" spans="1:4" ht="13" thickBot="1" x14ac:dyDescent="0.3">
      <c r="A73" s="253" t="str">
        <f>A52</f>
        <v>Ferric sulfate</v>
      </c>
      <c r="B73" s="275">
        <f>FeRatio/MeLFeSO4</f>
        <v>37.564333222599558</v>
      </c>
      <c r="C73" s="263" t="s">
        <v>415</v>
      </c>
    </row>
    <row r="75" spans="1:4" ht="13" x14ac:dyDescent="0.3">
      <c r="A75" s="176" t="s">
        <v>416</v>
      </c>
    </row>
    <row r="76" spans="1:4" ht="13" thickBot="1" x14ac:dyDescent="0.3"/>
    <row r="77" spans="1:4" ht="13" thickBot="1" x14ac:dyDescent="0.3">
      <c r="A77" s="176" t="s">
        <v>417</v>
      </c>
      <c r="C77" s="276">
        <f>Qinf*1000000*3.785</f>
        <v>3785000</v>
      </c>
      <c r="D77" s="238" t="s">
        <v>418</v>
      </c>
    </row>
    <row r="79" spans="1:4" x14ac:dyDescent="0.25">
      <c r="A79" s="176" t="s">
        <v>419</v>
      </c>
    </row>
    <row r="80" spans="1:4" ht="13" x14ac:dyDescent="0.3">
      <c r="A80" s="277" t="s">
        <v>420</v>
      </c>
      <c r="B80" s="278">
        <v>30</v>
      </c>
      <c r="C80" s="173" t="s">
        <v>194</v>
      </c>
    </row>
    <row r="81" spans="1:5" ht="13" thickBot="1" x14ac:dyDescent="0.3"/>
    <row r="82" spans="1:5" ht="13" thickBot="1" x14ac:dyDescent="0.3">
      <c r="A82" s="178" t="s">
        <v>278</v>
      </c>
      <c r="B82" s="241" t="s">
        <v>421</v>
      </c>
      <c r="C82" s="241" t="s">
        <v>422</v>
      </c>
      <c r="D82" s="241" t="s">
        <v>423</v>
      </c>
      <c r="E82" s="242" t="str">
        <f>CONCATENATE("Gallons per ",B80," days")</f>
        <v>Gallons per 30 days</v>
      </c>
    </row>
    <row r="83" spans="1:5" ht="13" thickTop="1" x14ac:dyDescent="0.25">
      <c r="A83" s="243" t="str">
        <f>A69</f>
        <v>Liquid Alum</v>
      </c>
      <c r="B83" s="268">
        <f>ROUND(QinfMetric*Pini*LpKgAlum/1000000,1)</f>
        <v>843.7</v>
      </c>
      <c r="C83" s="268">
        <f>ROUND(B83/3.785,1)</f>
        <v>222.9</v>
      </c>
      <c r="D83" s="245">
        <f>ROUND(C83/1440,2)</f>
        <v>0.15</v>
      </c>
      <c r="E83" s="279">
        <f>ROUND(C83*$B$80,0)</f>
        <v>6687</v>
      </c>
    </row>
    <row r="84" spans="1:5" x14ac:dyDescent="0.25">
      <c r="A84" s="247" t="str">
        <f>A70</f>
        <v>Sodium Aluminate</v>
      </c>
      <c r="B84" s="280">
        <f>ROUND(QinfMetric*Pini*LpKgNaAluminate/1000000,1)</f>
        <v>448.2</v>
      </c>
      <c r="C84" s="280">
        <f>ROUND(B84/3.785,1)</f>
        <v>118.4</v>
      </c>
      <c r="D84" s="249">
        <f>ROUND(C84/1440,2)</f>
        <v>0.08</v>
      </c>
      <c r="E84" s="281">
        <f>ROUND(C84*$B$80,0)</f>
        <v>3552</v>
      </c>
    </row>
    <row r="85" spans="1:5" x14ac:dyDescent="0.25">
      <c r="A85" s="247" t="str">
        <f>A71</f>
        <v>Polyaluminum chloride (PAC)</v>
      </c>
      <c r="B85" s="280">
        <f>ROUND(QinfMetric*Pini*LpKgPAC/1000000,1)</f>
        <v>347.9</v>
      </c>
      <c r="C85" s="280">
        <f>ROUND(B85/3.785,1)</f>
        <v>91.9</v>
      </c>
      <c r="D85" s="249">
        <f>ROUND(C85/1440,2)</f>
        <v>0.06</v>
      </c>
      <c r="E85" s="281">
        <f>ROUND(C85*$B$80,0)</f>
        <v>2757</v>
      </c>
    </row>
    <row r="86" spans="1:5" x14ac:dyDescent="0.25">
      <c r="A86" s="247" t="str">
        <f>A72</f>
        <v>Ferric chloride</v>
      </c>
      <c r="B86" s="280">
        <f>ROUND(QinfMetric*Pini*LpKgFeCl2/1000000,1)</f>
        <v>698.7</v>
      </c>
      <c r="C86" s="280">
        <f>ROUND(B86/3.785,1)</f>
        <v>184.6</v>
      </c>
      <c r="D86" s="249">
        <f>ROUND(C86/1440,2)</f>
        <v>0.13</v>
      </c>
      <c r="E86" s="281">
        <f>ROUND(C86*$B$80,0)</f>
        <v>5538</v>
      </c>
    </row>
    <row r="87" spans="1:5" ht="13" thickBot="1" x14ac:dyDescent="0.3">
      <c r="A87" s="253" t="str">
        <f>A73</f>
        <v>Ferric sulfate</v>
      </c>
      <c r="B87" s="282">
        <f>ROUND(QinfMetric*Pini*LpKgFeSO4/1000000,1)</f>
        <v>1421.8</v>
      </c>
      <c r="C87" s="282">
        <f>ROUND(B87/3.785,1)</f>
        <v>375.6</v>
      </c>
      <c r="D87" s="255">
        <f>ROUND(C87/1440,2)</f>
        <v>0.26</v>
      </c>
      <c r="E87" s="283">
        <f>ROUND(C87*$B$80,0)</f>
        <v>11268</v>
      </c>
    </row>
    <row r="89" spans="1:5" ht="13" x14ac:dyDescent="0.3">
      <c r="A89" s="176" t="s">
        <v>424</v>
      </c>
    </row>
    <row r="91" spans="1:5" x14ac:dyDescent="0.25">
      <c r="A91" s="177" t="s">
        <v>425</v>
      </c>
    </row>
    <row r="92" spans="1:5" ht="13" x14ac:dyDescent="0.3">
      <c r="A92" s="177" t="s">
        <v>426</v>
      </c>
      <c r="B92" s="201">
        <v>15</v>
      </c>
      <c r="C92" s="173" t="s">
        <v>427</v>
      </c>
    </row>
    <row r="93" spans="1:5" ht="13" thickBot="1" x14ac:dyDescent="0.3"/>
    <row r="94" spans="1:5" ht="13" thickBot="1" x14ac:dyDescent="0.3">
      <c r="A94" s="178" t="s">
        <v>278</v>
      </c>
      <c r="B94" s="241" t="s">
        <v>428</v>
      </c>
      <c r="C94" s="242" t="s">
        <v>429</v>
      </c>
    </row>
    <row r="95" spans="1:5" ht="13" thickTop="1" x14ac:dyDescent="0.25">
      <c r="A95" s="243" t="str">
        <f>A83</f>
        <v>Liquid Alum</v>
      </c>
      <c r="B95" s="284">
        <f>E83/7.48</f>
        <v>893.98395721925124</v>
      </c>
      <c r="C95" s="285">
        <f>SQRT(B95/$B$92/0.785)</f>
        <v>8.7133348629991225</v>
      </c>
    </row>
    <row r="96" spans="1:5" x14ac:dyDescent="0.25">
      <c r="A96" s="247" t="str">
        <f>A84</f>
        <v>Sodium Aluminate</v>
      </c>
      <c r="B96" s="286">
        <f>E84/7.48</f>
        <v>474.86631016042776</v>
      </c>
      <c r="C96" s="287">
        <f>SQRT(B96/$B$92/0.785)</f>
        <v>6.3504605390641098</v>
      </c>
    </row>
    <row r="97" spans="1:3" x14ac:dyDescent="0.25">
      <c r="A97" s="247" t="str">
        <f>A85</f>
        <v>Polyaluminum chloride (PAC)</v>
      </c>
      <c r="B97" s="286">
        <f>E85/7.48</f>
        <v>368.58288770053474</v>
      </c>
      <c r="C97" s="287">
        <f>SQRT(B97/$B$92/0.785)</f>
        <v>5.5948329794539857</v>
      </c>
    </row>
    <row r="98" spans="1:3" x14ac:dyDescent="0.25">
      <c r="A98" s="247" t="str">
        <f>A86</f>
        <v>Ferric chloride</v>
      </c>
      <c r="B98" s="286">
        <f>E86/7.48</f>
        <v>740.37433155080214</v>
      </c>
      <c r="C98" s="287">
        <f>SQRT(B98/$B$92/0.785)</f>
        <v>7.9294893266186977</v>
      </c>
    </row>
    <row r="99" spans="1:3" ht="13" thickBot="1" x14ac:dyDescent="0.3">
      <c r="A99" s="253" t="str">
        <f>A87</f>
        <v>Ferric sulfate</v>
      </c>
      <c r="B99" s="288">
        <f>E87/7.48</f>
        <v>1506.4171122994651</v>
      </c>
      <c r="C99" s="289">
        <f>SQRT(B99/$B$92/0.785)</f>
        <v>11.310769766988582</v>
      </c>
    </row>
    <row r="101" spans="1:3" x14ac:dyDescent="0.25">
      <c r="A101" s="290"/>
    </row>
    <row r="102" spans="1:3" x14ac:dyDescent="0.25">
      <c r="A102" s="291" t="s">
        <v>430</v>
      </c>
    </row>
    <row r="103" spans="1:3" x14ac:dyDescent="0.25">
      <c r="A103" s="291" t="s">
        <v>431</v>
      </c>
    </row>
    <row r="104" spans="1:3" ht="13" x14ac:dyDescent="0.3">
      <c r="A104" s="292"/>
    </row>
    <row r="106" spans="1:3" x14ac:dyDescent="0.25">
      <c r="A106" s="176"/>
    </row>
    <row r="107" spans="1:3" x14ac:dyDescent="0.25">
      <c r="A107" s="176"/>
    </row>
    <row r="108" spans="1:3" x14ac:dyDescent="0.25">
      <c r="A108" s="176"/>
    </row>
    <row r="109" spans="1:3" x14ac:dyDescent="0.25">
      <c r="A109" s="176"/>
    </row>
  </sheetData>
  <sheetProtection formatCells="0" formatColumns="0" formatRows="0"/>
  <hyperlinks>
    <hyperlink ref="K10" r:id="rId1" xr:uid="{00000000-0004-0000-0900-000000000000}"/>
    <hyperlink ref="K7" r:id="rId2" xr:uid="{00000000-0004-0000-0900-000001000000}"/>
    <hyperlink ref="K8" r:id="rId3" xr:uid="{00000000-0004-0000-0900-000002000000}"/>
    <hyperlink ref="K9" r:id="rId4" xr:uid="{00000000-0004-0000-0900-000003000000}"/>
    <hyperlink ref="K11" r:id="rId5" xr:uid="{00000000-0004-0000-0900-000004000000}"/>
  </hyperlinks>
  <pageMargins left="0.7" right="0.7" top="0.75" bottom="0.75" header="0.3" footer="0.3"/>
  <pageSetup paperSize="17" orientation="landscape" r:id="rId6"/>
  <rowBreaks count="2" manualBreakCount="2">
    <brk id="44" max="9" man="1"/>
    <brk id="88" max="9" man="1"/>
  </rowBreaks>
  <legacyDrawing r:id="rId7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GY170"/>
  <sheetViews>
    <sheetView showGridLines="0" topLeftCell="A58" zoomScale="80" zoomScaleNormal="80" zoomScaleSheetLayoutView="100" workbookViewId="0">
      <selection activeCell="H71" sqref="H71"/>
    </sheetView>
  </sheetViews>
  <sheetFormatPr defaultColWidth="9.1796875" defaultRowHeight="15" customHeight="1" x14ac:dyDescent="0.35"/>
  <cols>
    <col min="1" max="1" width="2.54296875" style="14" customWidth="1"/>
    <col min="2" max="10" width="9.26953125" style="14" customWidth="1"/>
    <col min="11" max="16384" width="9.1796875" style="14"/>
  </cols>
  <sheetData>
    <row r="1" spans="1:207" ht="13.5" customHeight="1" x14ac:dyDescent="0.35">
      <c r="A1" s="160" t="s">
        <v>221</v>
      </c>
      <c r="B1" s="156"/>
      <c r="C1" s="156"/>
      <c r="D1" s="158"/>
      <c r="E1" s="158"/>
      <c r="F1" s="158"/>
      <c r="G1" s="157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I1" s="156"/>
      <c r="EJ1" s="156"/>
      <c r="EK1" s="156"/>
      <c r="EL1" s="156"/>
      <c r="EM1" s="156"/>
      <c r="EN1" s="156"/>
      <c r="EO1" s="156"/>
      <c r="EP1" s="156"/>
      <c r="EQ1" s="156"/>
      <c r="ER1" s="156"/>
      <c r="ES1" s="156"/>
      <c r="ET1" s="156"/>
      <c r="EU1" s="156"/>
      <c r="EV1" s="156"/>
      <c r="EW1" s="156"/>
      <c r="EX1" s="156"/>
      <c r="EY1" s="156"/>
      <c r="EZ1" s="156"/>
      <c r="FA1" s="156"/>
      <c r="FB1" s="156"/>
      <c r="FC1" s="156"/>
      <c r="FD1" s="156"/>
      <c r="FE1" s="156"/>
      <c r="FF1" s="156"/>
      <c r="FG1" s="156"/>
      <c r="FH1" s="156"/>
      <c r="FI1" s="156"/>
      <c r="FJ1" s="156"/>
      <c r="FK1" s="156"/>
      <c r="FL1" s="156"/>
      <c r="FM1" s="156"/>
      <c r="FN1" s="156"/>
      <c r="FO1" s="156"/>
      <c r="FP1" s="156"/>
      <c r="FQ1" s="156"/>
      <c r="FR1" s="156"/>
      <c r="FS1" s="156"/>
      <c r="FT1" s="156"/>
      <c r="FU1" s="156"/>
      <c r="FV1" s="156"/>
      <c r="FW1" s="156"/>
      <c r="FX1" s="156"/>
      <c r="FY1" s="156"/>
      <c r="FZ1" s="156"/>
      <c r="GA1" s="156"/>
      <c r="GB1" s="156"/>
      <c r="GC1" s="156"/>
      <c r="GD1" s="156"/>
      <c r="GE1" s="156"/>
      <c r="GF1" s="156"/>
      <c r="GG1" s="156"/>
      <c r="GH1" s="156"/>
      <c r="GI1" s="156"/>
      <c r="GJ1" s="156"/>
      <c r="GK1" s="156"/>
      <c r="GL1" s="156"/>
      <c r="GM1" s="156"/>
      <c r="GN1" s="156"/>
      <c r="GO1" s="156"/>
      <c r="GP1" s="156"/>
      <c r="GQ1" s="156"/>
      <c r="GR1" s="156"/>
      <c r="GS1" s="156"/>
      <c r="GT1" s="156"/>
      <c r="GU1" s="156"/>
      <c r="GV1" s="156"/>
      <c r="GW1" s="156"/>
      <c r="GX1" s="156"/>
      <c r="GY1" s="156"/>
    </row>
    <row r="2" spans="1:207" ht="13.5" customHeight="1" x14ac:dyDescent="0.35">
      <c r="A2" s="159">
        <v>1</v>
      </c>
      <c r="B2" s="159" t="s">
        <v>220</v>
      </c>
      <c r="C2" s="156"/>
      <c r="D2" s="156"/>
      <c r="E2" s="156"/>
      <c r="F2" s="156"/>
      <c r="G2" s="156"/>
      <c r="H2" s="158"/>
      <c r="I2" s="157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EI2" s="156"/>
      <c r="EJ2" s="156"/>
      <c r="EK2" s="156"/>
      <c r="EL2" s="156"/>
      <c r="EM2" s="156"/>
      <c r="EN2" s="156"/>
      <c r="EO2" s="156"/>
      <c r="EP2" s="156"/>
      <c r="EQ2" s="156"/>
      <c r="ER2" s="156"/>
      <c r="ES2" s="156"/>
      <c r="ET2" s="156"/>
      <c r="EU2" s="156"/>
      <c r="EV2" s="156"/>
      <c r="EW2" s="156"/>
      <c r="EX2" s="156"/>
      <c r="EY2" s="156"/>
      <c r="EZ2" s="156"/>
      <c r="FA2" s="156"/>
      <c r="FB2" s="156"/>
      <c r="FC2" s="156"/>
      <c r="FD2" s="156"/>
      <c r="FE2" s="156"/>
      <c r="FF2" s="156"/>
      <c r="FG2" s="156"/>
      <c r="FH2" s="156"/>
      <c r="FI2" s="156"/>
      <c r="FJ2" s="156"/>
      <c r="FK2" s="156"/>
      <c r="FL2" s="156"/>
      <c r="FM2" s="156"/>
      <c r="FN2" s="156"/>
      <c r="FO2" s="156"/>
      <c r="FP2" s="156"/>
      <c r="FQ2" s="156"/>
      <c r="FR2" s="156"/>
      <c r="FS2" s="156"/>
      <c r="FT2" s="156"/>
      <c r="FU2" s="156"/>
      <c r="FV2" s="156"/>
      <c r="FW2" s="156"/>
      <c r="FX2" s="156"/>
      <c r="FY2" s="156"/>
      <c r="FZ2" s="156"/>
      <c r="GA2" s="156"/>
      <c r="GB2" s="156"/>
      <c r="GC2" s="156"/>
      <c r="GD2" s="156"/>
      <c r="GE2" s="156"/>
      <c r="GF2" s="156"/>
      <c r="GG2" s="156"/>
      <c r="GH2" s="156"/>
      <c r="GI2" s="156"/>
      <c r="GJ2" s="156"/>
      <c r="GK2" s="156"/>
      <c r="GL2" s="156"/>
      <c r="GM2" s="156"/>
      <c r="GN2" s="156"/>
      <c r="GO2" s="156"/>
      <c r="GP2" s="156"/>
      <c r="GQ2" s="156"/>
      <c r="GR2" s="156"/>
      <c r="GS2" s="156"/>
      <c r="GT2" s="156"/>
      <c r="GU2" s="156"/>
      <c r="GV2" s="156"/>
      <c r="GW2" s="156"/>
      <c r="GX2" s="156"/>
      <c r="GY2" s="156"/>
    </row>
    <row r="3" spans="1:207" ht="13.5" customHeight="1" x14ac:dyDescent="0.35">
      <c r="A3" s="144"/>
      <c r="B3" s="143" t="s">
        <v>219</v>
      </c>
      <c r="C3" s="144"/>
      <c r="D3" s="144"/>
      <c r="E3" s="144"/>
      <c r="F3" s="144"/>
      <c r="G3" s="144"/>
      <c r="H3" s="154">
        <v>62664</v>
      </c>
      <c r="I3" s="144" t="s">
        <v>218</v>
      </c>
      <c r="J3" s="144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  <c r="AU3" s="143"/>
      <c r="AV3" s="143"/>
      <c r="AW3" s="143"/>
      <c r="AX3" s="143"/>
      <c r="AY3" s="143"/>
      <c r="AZ3" s="143"/>
      <c r="BA3" s="143"/>
      <c r="BB3" s="143"/>
      <c r="BC3" s="143"/>
      <c r="BD3" s="143"/>
      <c r="BE3" s="143"/>
      <c r="BF3" s="143"/>
      <c r="BG3" s="143"/>
      <c r="BH3" s="143"/>
      <c r="BI3" s="143"/>
      <c r="BJ3" s="143"/>
      <c r="BK3" s="143"/>
      <c r="BL3" s="143"/>
      <c r="BM3" s="143"/>
      <c r="BN3" s="143"/>
      <c r="BO3" s="143"/>
      <c r="BP3" s="143"/>
      <c r="BQ3" s="143"/>
      <c r="BR3" s="143"/>
      <c r="BS3" s="143"/>
      <c r="BT3" s="143"/>
      <c r="BU3" s="143"/>
      <c r="BV3" s="143"/>
      <c r="BW3" s="143"/>
      <c r="BX3" s="143"/>
      <c r="BY3" s="143"/>
      <c r="BZ3" s="143"/>
      <c r="CA3" s="143"/>
      <c r="CB3" s="143"/>
      <c r="CC3" s="143"/>
      <c r="CD3" s="143"/>
      <c r="CE3" s="143"/>
      <c r="CF3" s="143"/>
      <c r="CG3" s="143"/>
      <c r="CH3" s="143"/>
      <c r="CI3" s="143"/>
      <c r="CJ3" s="143"/>
      <c r="CK3" s="143"/>
      <c r="CL3" s="143"/>
      <c r="CM3" s="143"/>
      <c r="CN3" s="143"/>
      <c r="CO3" s="143"/>
      <c r="CP3" s="143"/>
      <c r="CQ3" s="143"/>
      <c r="CR3" s="143"/>
      <c r="CS3" s="143"/>
      <c r="CT3" s="143"/>
      <c r="CU3" s="143"/>
      <c r="CV3" s="143"/>
      <c r="CW3" s="143"/>
      <c r="CX3" s="143"/>
      <c r="CY3" s="143"/>
      <c r="CZ3" s="143"/>
      <c r="DA3" s="143"/>
      <c r="DB3" s="143"/>
      <c r="DC3" s="143"/>
      <c r="DD3" s="143"/>
      <c r="DE3" s="143"/>
      <c r="DF3" s="143"/>
      <c r="DG3" s="143"/>
      <c r="DH3" s="143"/>
      <c r="DI3" s="143"/>
      <c r="DJ3" s="143"/>
      <c r="DK3" s="143"/>
      <c r="DL3" s="143"/>
      <c r="DM3" s="143"/>
      <c r="DN3" s="143"/>
      <c r="DO3" s="143"/>
      <c r="DP3" s="143"/>
      <c r="DQ3" s="143"/>
      <c r="DR3" s="143"/>
      <c r="DS3" s="143"/>
      <c r="DT3" s="143"/>
      <c r="DU3" s="143"/>
      <c r="DV3" s="143"/>
      <c r="DW3" s="143"/>
      <c r="DX3" s="143"/>
      <c r="DY3" s="143"/>
      <c r="DZ3" s="143"/>
      <c r="EA3" s="143"/>
      <c r="EB3" s="143"/>
      <c r="EC3" s="143"/>
      <c r="ED3" s="143"/>
      <c r="EE3" s="143"/>
      <c r="EF3" s="143"/>
      <c r="EG3" s="143"/>
      <c r="EH3" s="143"/>
      <c r="EI3" s="143"/>
      <c r="EJ3" s="143"/>
      <c r="EK3" s="143"/>
      <c r="EL3" s="143"/>
      <c r="EM3" s="143"/>
      <c r="EN3" s="143"/>
      <c r="EO3" s="143"/>
      <c r="EP3" s="143"/>
      <c r="EQ3" s="143"/>
      <c r="ER3" s="143"/>
      <c r="ES3" s="143"/>
      <c r="ET3" s="143"/>
      <c r="EU3" s="143"/>
      <c r="EV3" s="143"/>
      <c r="EW3" s="143"/>
      <c r="EX3" s="143"/>
      <c r="EY3" s="143"/>
      <c r="EZ3" s="143"/>
      <c r="FA3" s="143"/>
      <c r="FB3" s="143"/>
      <c r="FC3" s="143"/>
      <c r="FD3" s="143"/>
      <c r="FE3" s="143"/>
      <c r="FF3" s="143"/>
      <c r="FG3" s="143"/>
      <c r="FH3" s="143"/>
      <c r="FI3" s="143"/>
      <c r="FJ3" s="143"/>
      <c r="FK3" s="143"/>
      <c r="FL3" s="143"/>
      <c r="FM3" s="143"/>
      <c r="FN3" s="143"/>
      <c r="FO3" s="143"/>
      <c r="FP3" s="143"/>
      <c r="FQ3" s="143"/>
      <c r="FR3" s="143"/>
      <c r="FS3" s="143"/>
      <c r="FT3" s="143"/>
      <c r="FU3" s="143"/>
      <c r="FV3" s="143"/>
      <c r="FW3" s="143"/>
      <c r="FX3" s="143"/>
      <c r="FY3" s="143"/>
      <c r="FZ3" s="143"/>
      <c r="GA3" s="143"/>
      <c r="GB3" s="143"/>
      <c r="GC3" s="143"/>
      <c r="GD3" s="143"/>
      <c r="GE3" s="143"/>
      <c r="GF3" s="143"/>
      <c r="GG3" s="143"/>
      <c r="GH3" s="143"/>
      <c r="GI3" s="143"/>
      <c r="GJ3" s="143"/>
      <c r="GK3" s="143"/>
      <c r="GL3" s="143"/>
      <c r="GM3" s="143"/>
      <c r="GN3" s="143"/>
      <c r="GO3" s="143"/>
      <c r="GP3" s="143"/>
      <c r="GQ3" s="143"/>
      <c r="GR3" s="143"/>
      <c r="GS3" s="143"/>
      <c r="GT3" s="143"/>
      <c r="GU3" s="143"/>
      <c r="GV3" s="143"/>
      <c r="GW3" s="143"/>
      <c r="GX3" s="143"/>
      <c r="GY3" s="143"/>
    </row>
    <row r="4" spans="1:207" ht="13.5" customHeight="1" x14ac:dyDescent="0.35">
      <c r="A4" s="144"/>
      <c r="B4" s="143" t="s">
        <v>217</v>
      </c>
      <c r="C4" s="144"/>
      <c r="D4" s="144"/>
      <c r="E4" s="144"/>
      <c r="F4" s="144"/>
      <c r="G4" s="144"/>
      <c r="H4" s="155">
        <v>0.1</v>
      </c>
      <c r="I4" s="144"/>
      <c r="J4" s="144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/>
      <c r="AV4" s="143"/>
      <c r="AW4" s="143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3"/>
      <c r="CI4" s="143"/>
      <c r="CJ4" s="143"/>
      <c r="CK4" s="143"/>
      <c r="CL4" s="143"/>
      <c r="CM4" s="143"/>
      <c r="CN4" s="143"/>
      <c r="CO4" s="143"/>
      <c r="CP4" s="143"/>
      <c r="CQ4" s="143"/>
      <c r="CR4" s="143"/>
      <c r="CS4" s="143"/>
      <c r="CT4" s="143"/>
      <c r="CU4" s="143"/>
      <c r="CV4" s="143"/>
      <c r="CW4" s="143"/>
      <c r="CX4" s="143"/>
      <c r="CY4" s="143"/>
      <c r="CZ4" s="143"/>
      <c r="DA4" s="143"/>
      <c r="DB4" s="143"/>
      <c r="DC4" s="143"/>
      <c r="DD4" s="143"/>
      <c r="DE4" s="143"/>
      <c r="DF4" s="143"/>
      <c r="DG4" s="143"/>
      <c r="DH4" s="143"/>
      <c r="DI4" s="143"/>
      <c r="DJ4" s="143"/>
      <c r="DK4" s="143"/>
      <c r="DL4" s="143"/>
      <c r="DM4" s="143"/>
      <c r="DN4" s="143"/>
      <c r="DO4" s="143"/>
      <c r="DP4" s="143"/>
      <c r="DQ4" s="143"/>
      <c r="DR4" s="143"/>
      <c r="DS4" s="143"/>
      <c r="DT4" s="143"/>
      <c r="DU4" s="143"/>
      <c r="DV4" s="143"/>
      <c r="DW4" s="143"/>
      <c r="DX4" s="143"/>
      <c r="DY4" s="143"/>
      <c r="DZ4" s="143"/>
      <c r="EA4" s="143"/>
      <c r="EB4" s="143"/>
      <c r="EC4" s="143"/>
      <c r="ED4" s="143"/>
      <c r="EE4" s="143"/>
      <c r="EF4" s="143"/>
      <c r="EG4" s="143"/>
      <c r="EH4" s="143"/>
      <c r="EI4" s="143"/>
      <c r="EJ4" s="143"/>
      <c r="EK4" s="143"/>
      <c r="EL4" s="143"/>
      <c r="EM4" s="143"/>
      <c r="EN4" s="143"/>
      <c r="EO4" s="143"/>
      <c r="EP4" s="143"/>
      <c r="EQ4" s="143"/>
      <c r="ER4" s="143"/>
      <c r="ES4" s="143"/>
      <c r="ET4" s="143"/>
      <c r="EU4" s="143"/>
      <c r="EV4" s="143"/>
      <c r="EW4" s="143"/>
      <c r="EX4" s="143"/>
      <c r="EY4" s="143"/>
      <c r="EZ4" s="143"/>
      <c r="FA4" s="143"/>
      <c r="FB4" s="143"/>
      <c r="FC4" s="143"/>
      <c r="FD4" s="143"/>
      <c r="FE4" s="143"/>
      <c r="FF4" s="143"/>
      <c r="FG4" s="143"/>
      <c r="FH4" s="143"/>
      <c r="FI4" s="143"/>
      <c r="FJ4" s="143"/>
      <c r="FK4" s="143"/>
      <c r="FL4" s="143"/>
      <c r="FM4" s="143"/>
      <c r="FN4" s="143"/>
      <c r="FO4" s="143"/>
      <c r="FP4" s="143"/>
      <c r="FQ4" s="143"/>
      <c r="FR4" s="143"/>
      <c r="FS4" s="143"/>
      <c r="FT4" s="143"/>
      <c r="FU4" s="143"/>
      <c r="FV4" s="143"/>
      <c r="FW4" s="143"/>
      <c r="FX4" s="143"/>
      <c r="FY4" s="143"/>
      <c r="FZ4" s="143"/>
      <c r="GA4" s="143"/>
      <c r="GB4" s="143"/>
      <c r="GC4" s="143"/>
      <c r="GD4" s="143"/>
      <c r="GE4" s="143"/>
      <c r="GF4" s="143"/>
      <c r="GG4" s="143"/>
      <c r="GH4" s="143"/>
      <c r="GI4" s="143"/>
      <c r="GJ4" s="143"/>
      <c r="GK4" s="143"/>
      <c r="GL4" s="143"/>
      <c r="GM4" s="143"/>
      <c r="GN4" s="143"/>
      <c r="GO4" s="143"/>
      <c r="GP4" s="143"/>
      <c r="GQ4" s="143"/>
      <c r="GR4" s="143"/>
      <c r="GS4" s="143"/>
      <c r="GT4" s="143"/>
      <c r="GU4" s="143"/>
      <c r="GV4" s="143"/>
      <c r="GW4" s="143"/>
      <c r="GX4" s="143"/>
      <c r="GY4" s="143"/>
    </row>
    <row r="5" spans="1:207" ht="13.5" customHeight="1" x14ac:dyDescent="0.35">
      <c r="A5" s="144"/>
      <c r="B5" s="153" t="s">
        <v>216</v>
      </c>
      <c r="C5" s="144"/>
      <c r="D5" s="144"/>
      <c r="E5" s="144"/>
      <c r="F5" s="144"/>
      <c r="G5" s="144"/>
      <c r="H5" s="154">
        <f>60*(1-H4)</f>
        <v>54</v>
      </c>
      <c r="I5" s="144" t="s">
        <v>214</v>
      </c>
      <c r="J5" s="144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  <c r="AU5" s="143"/>
      <c r="AV5" s="143"/>
      <c r="AW5" s="143"/>
      <c r="AX5" s="143"/>
      <c r="AY5" s="143"/>
      <c r="AZ5" s="143"/>
      <c r="BA5" s="143"/>
      <c r="BB5" s="143"/>
      <c r="BC5" s="143"/>
      <c r="BD5" s="143"/>
      <c r="BE5" s="143"/>
      <c r="BF5" s="143"/>
      <c r="BG5" s="143"/>
      <c r="BH5" s="143"/>
      <c r="BI5" s="143"/>
      <c r="BJ5" s="143"/>
      <c r="BK5" s="143"/>
      <c r="BL5" s="143"/>
      <c r="BM5" s="143"/>
      <c r="BN5" s="143"/>
      <c r="BO5" s="143"/>
      <c r="BP5" s="143"/>
      <c r="BQ5" s="143"/>
      <c r="BR5" s="143"/>
      <c r="BS5" s="143"/>
      <c r="BT5" s="143"/>
      <c r="BU5" s="143"/>
      <c r="BV5" s="143"/>
      <c r="BW5" s="143"/>
      <c r="BX5" s="143"/>
      <c r="BY5" s="143"/>
      <c r="BZ5" s="143"/>
      <c r="CA5" s="143"/>
      <c r="CB5" s="143"/>
      <c r="CC5" s="143"/>
      <c r="CD5" s="143"/>
      <c r="CE5" s="143"/>
      <c r="CF5" s="143"/>
      <c r="CG5" s="143"/>
      <c r="CH5" s="143"/>
      <c r="CI5" s="143"/>
      <c r="CJ5" s="143"/>
      <c r="CK5" s="143"/>
      <c r="CL5" s="143"/>
      <c r="CM5" s="143"/>
      <c r="CN5" s="143"/>
      <c r="CO5" s="143"/>
      <c r="CP5" s="143"/>
      <c r="CQ5" s="143"/>
      <c r="CR5" s="143"/>
      <c r="CS5" s="143"/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43"/>
      <c r="DI5" s="143"/>
      <c r="DJ5" s="143"/>
      <c r="DK5" s="143"/>
      <c r="DL5" s="143"/>
      <c r="DM5" s="143"/>
      <c r="DN5" s="143"/>
      <c r="DO5" s="143"/>
      <c r="DP5" s="143"/>
      <c r="DQ5" s="143"/>
      <c r="DR5" s="143"/>
      <c r="DS5" s="143"/>
      <c r="DT5" s="143"/>
      <c r="DU5" s="143"/>
      <c r="DV5" s="143"/>
      <c r="DW5" s="143"/>
      <c r="DX5" s="143"/>
      <c r="DY5" s="143"/>
      <c r="DZ5" s="143"/>
      <c r="EA5" s="143"/>
      <c r="EB5" s="143"/>
      <c r="EC5" s="143"/>
      <c r="ED5" s="143"/>
      <c r="EE5" s="143"/>
      <c r="EF5" s="143"/>
      <c r="EG5" s="143"/>
      <c r="EH5" s="143"/>
      <c r="EI5" s="143"/>
      <c r="EJ5" s="143"/>
      <c r="EK5" s="143"/>
      <c r="EL5" s="143"/>
      <c r="EM5" s="143"/>
      <c r="EN5" s="143"/>
      <c r="EO5" s="143"/>
      <c r="EP5" s="143"/>
      <c r="EQ5" s="143"/>
      <c r="ER5" s="143"/>
      <c r="ES5" s="143"/>
      <c r="ET5" s="143"/>
      <c r="EU5" s="143"/>
      <c r="EV5" s="143"/>
      <c r="EW5" s="143"/>
      <c r="EX5" s="143"/>
      <c r="EY5" s="143"/>
      <c r="EZ5" s="143"/>
      <c r="FA5" s="143"/>
      <c r="FB5" s="143"/>
      <c r="FC5" s="143"/>
      <c r="FD5" s="143"/>
      <c r="FE5" s="143"/>
      <c r="FF5" s="143"/>
      <c r="FG5" s="143"/>
      <c r="FH5" s="143"/>
      <c r="FI5" s="143"/>
      <c r="FJ5" s="143"/>
      <c r="FK5" s="143"/>
      <c r="FL5" s="143"/>
      <c r="FM5" s="143"/>
      <c r="FN5" s="143"/>
      <c r="FO5" s="143"/>
      <c r="FP5" s="143"/>
      <c r="FQ5" s="143"/>
      <c r="FR5" s="143"/>
      <c r="FS5" s="143"/>
      <c r="FT5" s="143"/>
      <c r="FU5" s="143"/>
      <c r="FV5" s="143"/>
      <c r="FW5" s="143"/>
      <c r="FX5" s="143"/>
      <c r="FY5" s="143"/>
      <c r="FZ5" s="143"/>
      <c r="GA5" s="143"/>
      <c r="GB5" s="143"/>
      <c r="GC5" s="143"/>
      <c r="GD5" s="143"/>
      <c r="GE5" s="143"/>
      <c r="GF5" s="143"/>
      <c r="GG5" s="143"/>
      <c r="GH5" s="143"/>
      <c r="GI5" s="143"/>
      <c r="GJ5" s="143"/>
      <c r="GK5" s="143"/>
      <c r="GL5" s="143"/>
      <c r="GM5" s="143"/>
      <c r="GN5" s="143"/>
      <c r="GO5" s="143"/>
      <c r="GP5" s="143"/>
      <c r="GQ5" s="143"/>
      <c r="GR5" s="143"/>
      <c r="GS5" s="143"/>
      <c r="GT5" s="143"/>
      <c r="GU5" s="143"/>
      <c r="GV5" s="143"/>
      <c r="GW5" s="143"/>
      <c r="GX5" s="143"/>
      <c r="GY5" s="143"/>
    </row>
    <row r="6" spans="1:207" ht="13.5" customHeight="1" x14ac:dyDescent="0.35">
      <c r="A6" s="144"/>
      <c r="B6" s="143"/>
      <c r="C6" s="144"/>
      <c r="D6" s="144"/>
      <c r="E6" s="144"/>
      <c r="F6" s="144"/>
      <c r="G6" s="145"/>
      <c r="H6" s="145">
        <f>('Mass Balance'!E20+'Mass Balance'!J20)*24/'Mass Balance'!$E$4</f>
        <v>133.70400000000001</v>
      </c>
      <c r="I6" s="144" t="s">
        <v>144</v>
      </c>
      <c r="J6" s="144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  <c r="AS6" s="143"/>
      <c r="AT6" s="143"/>
      <c r="AU6" s="143"/>
      <c r="AV6" s="143"/>
      <c r="AW6" s="143"/>
      <c r="AX6" s="143"/>
      <c r="AY6" s="143"/>
      <c r="AZ6" s="143"/>
      <c r="BA6" s="143"/>
      <c r="BB6" s="143"/>
      <c r="BC6" s="143"/>
      <c r="BD6" s="143"/>
      <c r="BE6" s="143"/>
      <c r="BF6" s="143"/>
      <c r="BG6" s="143"/>
      <c r="BH6" s="143"/>
      <c r="BI6" s="143"/>
      <c r="BJ6" s="143"/>
      <c r="BK6" s="143"/>
      <c r="BL6" s="143"/>
      <c r="BM6" s="143"/>
      <c r="BN6" s="143"/>
      <c r="BO6" s="143"/>
      <c r="BP6" s="143"/>
      <c r="BQ6" s="143"/>
      <c r="BR6" s="143"/>
      <c r="BS6" s="143"/>
      <c r="BT6" s="143"/>
      <c r="BU6" s="143"/>
      <c r="BV6" s="143"/>
      <c r="BW6" s="143"/>
      <c r="BX6" s="143"/>
      <c r="BY6" s="143"/>
      <c r="BZ6" s="143"/>
      <c r="CA6" s="143"/>
      <c r="CB6" s="143"/>
      <c r="CC6" s="143"/>
      <c r="CD6" s="143"/>
      <c r="CE6" s="143"/>
      <c r="CF6" s="143"/>
      <c r="CG6" s="143"/>
      <c r="CH6" s="143"/>
      <c r="CI6" s="143"/>
      <c r="CJ6" s="143"/>
      <c r="CK6" s="143"/>
      <c r="CL6" s="143"/>
      <c r="CM6" s="143"/>
      <c r="CN6" s="143"/>
      <c r="CO6" s="143"/>
      <c r="CP6" s="143"/>
      <c r="CQ6" s="143"/>
      <c r="CR6" s="143"/>
      <c r="CS6" s="143"/>
      <c r="CT6" s="143"/>
      <c r="CU6" s="143"/>
      <c r="CV6" s="143"/>
      <c r="CW6" s="143"/>
      <c r="CX6" s="143"/>
      <c r="CY6" s="143"/>
      <c r="CZ6" s="143"/>
      <c r="DA6" s="143"/>
      <c r="DB6" s="143"/>
      <c r="DC6" s="143"/>
      <c r="DD6" s="143"/>
      <c r="DE6" s="143"/>
      <c r="DF6" s="143"/>
      <c r="DG6" s="143"/>
      <c r="DH6" s="143"/>
      <c r="DI6" s="143"/>
      <c r="DJ6" s="143"/>
      <c r="DK6" s="143"/>
      <c r="DL6" s="143"/>
      <c r="DM6" s="143"/>
      <c r="DN6" s="143"/>
      <c r="DO6" s="143"/>
      <c r="DP6" s="143"/>
      <c r="DQ6" s="143"/>
      <c r="DR6" s="143"/>
      <c r="DS6" s="143"/>
      <c r="DT6" s="143"/>
      <c r="DU6" s="143"/>
      <c r="DV6" s="143"/>
      <c r="DW6" s="143"/>
      <c r="DX6" s="143"/>
      <c r="DY6" s="143"/>
      <c r="DZ6" s="143"/>
      <c r="EA6" s="143"/>
      <c r="EB6" s="143"/>
      <c r="EC6" s="143"/>
      <c r="ED6" s="143"/>
      <c r="EE6" s="143"/>
      <c r="EF6" s="143"/>
      <c r="EG6" s="143"/>
      <c r="EH6" s="143"/>
      <c r="EI6" s="143"/>
      <c r="EJ6" s="143"/>
      <c r="EK6" s="143"/>
      <c r="EL6" s="143"/>
      <c r="EM6" s="143"/>
      <c r="EN6" s="143"/>
      <c r="EO6" s="143"/>
      <c r="EP6" s="143"/>
      <c r="EQ6" s="143"/>
      <c r="ER6" s="143"/>
      <c r="ES6" s="143"/>
      <c r="ET6" s="143"/>
      <c r="EU6" s="143"/>
      <c r="EV6" s="143"/>
      <c r="EW6" s="143"/>
      <c r="EX6" s="143"/>
      <c r="EY6" s="143"/>
      <c r="EZ6" s="143"/>
      <c r="FA6" s="143"/>
      <c r="FB6" s="143"/>
      <c r="FC6" s="143"/>
      <c r="FD6" s="143"/>
      <c r="FE6" s="143"/>
      <c r="FF6" s="143"/>
      <c r="FG6" s="143"/>
      <c r="FH6" s="143"/>
      <c r="FI6" s="143"/>
      <c r="FJ6" s="143"/>
      <c r="FK6" s="143"/>
      <c r="FL6" s="143"/>
      <c r="FM6" s="143"/>
      <c r="FN6" s="143"/>
      <c r="FO6" s="143"/>
      <c r="FP6" s="143"/>
      <c r="FQ6" s="143"/>
      <c r="FR6" s="143"/>
      <c r="FS6" s="143"/>
      <c r="FT6" s="143"/>
      <c r="FU6" s="143"/>
      <c r="FV6" s="143"/>
      <c r="FW6" s="143"/>
      <c r="FX6" s="143"/>
      <c r="FY6" s="143"/>
      <c r="FZ6" s="143"/>
      <c r="GA6" s="143"/>
      <c r="GB6" s="143"/>
      <c r="GC6" s="143"/>
      <c r="GD6" s="143"/>
      <c r="GE6" s="143"/>
      <c r="GF6" s="143"/>
      <c r="GG6" s="143"/>
      <c r="GH6" s="143"/>
      <c r="GI6" s="143"/>
      <c r="GJ6" s="143"/>
      <c r="GK6" s="143"/>
      <c r="GL6" s="143"/>
      <c r="GM6" s="143"/>
      <c r="GN6" s="143"/>
      <c r="GO6" s="143"/>
      <c r="GP6" s="143"/>
      <c r="GQ6" s="143"/>
      <c r="GR6" s="143"/>
      <c r="GS6" s="143"/>
      <c r="GT6" s="143"/>
      <c r="GU6" s="143"/>
      <c r="GV6" s="143"/>
      <c r="GW6" s="143"/>
      <c r="GX6" s="143"/>
      <c r="GY6" s="143"/>
    </row>
    <row r="7" spans="1:207" ht="13.5" customHeight="1" x14ac:dyDescent="0.35">
      <c r="A7" s="144"/>
      <c r="B7" s="153" t="s">
        <v>215</v>
      </c>
      <c r="C7" s="144"/>
      <c r="D7" s="144"/>
      <c r="E7" s="144"/>
      <c r="F7" s="144"/>
      <c r="G7" s="144"/>
      <c r="H7" s="145">
        <v>8</v>
      </c>
      <c r="I7" s="144" t="s">
        <v>214</v>
      </c>
      <c r="J7" s="144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  <c r="GW7" s="143"/>
      <c r="GX7" s="143"/>
      <c r="GY7" s="143"/>
    </row>
    <row r="8" spans="1:207" ht="13.5" customHeight="1" x14ac:dyDescent="0.35">
      <c r="A8" s="144"/>
      <c r="B8" s="143"/>
      <c r="C8" s="144"/>
      <c r="D8" s="144"/>
      <c r="E8" s="144"/>
      <c r="F8" s="144"/>
      <c r="G8" s="144"/>
      <c r="H8" s="145">
        <f>H3*H7/1000</f>
        <v>501.31200000000001</v>
      </c>
      <c r="I8" s="144" t="s">
        <v>138</v>
      </c>
      <c r="J8" s="144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3"/>
      <c r="BA8" s="143"/>
      <c r="BB8" s="143"/>
      <c r="BC8" s="143"/>
      <c r="BD8" s="143"/>
      <c r="BE8" s="143"/>
      <c r="BF8" s="143"/>
      <c r="BG8" s="143"/>
      <c r="BH8" s="143"/>
      <c r="BI8" s="143"/>
      <c r="BJ8" s="143"/>
      <c r="BK8" s="143"/>
      <c r="BL8" s="143"/>
      <c r="BM8" s="143"/>
      <c r="BN8" s="143"/>
      <c r="BO8" s="143"/>
      <c r="BP8" s="143"/>
      <c r="BQ8" s="143"/>
      <c r="BR8" s="143"/>
      <c r="BS8" s="143"/>
      <c r="BT8" s="143"/>
      <c r="BU8" s="143"/>
      <c r="BV8" s="143"/>
      <c r="BW8" s="143"/>
      <c r="BX8" s="143"/>
      <c r="BY8" s="143"/>
      <c r="BZ8" s="143"/>
      <c r="CA8" s="143"/>
      <c r="CB8" s="143"/>
      <c r="CC8" s="143"/>
      <c r="CD8" s="143"/>
      <c r="CE8" s="143"/>
      <c r="CF8" s="143"/>
      <c r="CG8" s="143"/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  <c r="CX8" s="143"/>
      <c r="CY8" s="143"/>
      <c r="CZ8" s="143"/>
      <c r="DA8" s="143"/>
      <c r="DB8" s="143"/>
      <c r="DC8" s="143"/>
      <c r="DD8" s="143"/>
      <c r="DE8" s="143"/>
      <c r="DF8" s="143"/>
      <c r="DG8" s="143"/>
      <c r="DH8" s="143"/>
      <c r="DI8" s="143"/>
      <c r="DJ8" s="143"/>
      <c r="DK8" s="143"/>
      <c r="DL8" s="143"/>
      <c r="DM8" s="143"/>
      <c r="DN8" s="143"/>
      <c r="DO8" s="143"/>
      <c r="DP8" s="143"/>
      <c r="DQ8" s="143"/>
      <c r="DR8" s="143"/>
      <c r="DS8" s="143"/>
      <c r="DT8" s="143"/>
      <c r="DU8" s="143"/>
      <c r="DV8" s="143"/>
      <c r="DW8" s="143"/>
      <c r="DX8" s="143"/>
      <c r="DY8" s="143"/>
      <c r="DZ8" s="143"/>
      <c r="EA8" s="143"/>
      <c r="EB8" s="143"/>
      <c r="EC8" s="143"/>
      <c r="ED8" s="143"/>
      <c r="EE8" s="143"/>
      <c r="EF8" s="143"/>
      <c r="EG8" s="143"/>
      <c r="EH8" s="143"/>
      <c r="EI8" s="143"/>
      <c r="EJ8" s="143"/>
      <c r="EK8" s="143"/>
      <c r="EL8" s="143"/>
      <c r="EM8" s="143"/>
      <c r="EN8" s="143"/>
      <c r="EO8" s="143"/>
      <c r="EP8" s="143"/>
      <c r="EQ8" s="143"/>
      <c r="ER8" s="143"/>
      <c r="ES8" s="143"/>
      <c r="ET8" s="143"/>
      <c r="EU8" s="143"/>
      <c r="EV8" s="143"/>
      <c r="EW8" s="143"/>
      <c r="EX8" s="143"/>
      <c r="EY8" s="143"/>
      <c r="EZ8" s="143"/>
      <c r="FA8" s="143"/>
      <c r="FB8" s="143"/>
      <c r="FC8" s="143"/>
      <c r="FD8" s="143"/>
      <c r="FE8" s="143"/>
      <c r="FF8" s="143"/>
      <c r="FG8" s="143"/>
      <c r="FH8" s="143"/>
      <c r="FI8" s="143"/>
      <c r="FJ8" s="143"/>
      <c r="FK8" s="143"/>
      <c r="FL8" s="143"/>
      <c r="FM8" s="143"/>
      <c r="FN8" s="143"/>
      <c r="FO8" s="143"/>
      <c r="FP8" s="143"/>
      <c r="FQ8" s="143"/>
      <c r="FR8" s="143"/>
      <c r="FS8" s="143"/>
      <c r="FT8" s="143"/>
      <c r="FU8" s="143"/>
      <c r="FV8" s="143"/>
      <c r="FW8" s="143"/>
      <c r="FX8" s="143"/>
      <c r="FY8" s="143"/>
      <c r="FZ8" s="143"/>
      <c r="GA8" s="143"/>
      <c r="GB8" s="143"/>
      <c r="GC8" s="143"/>
      <c r="GD8" s="143"/>
      <c r="GE8" s="143"/>
      <c r="GF8" s="143"/>
      <c r="GG8" s="143"/>
      <c r="GH8" s="143"/>
      <c r="GI8" s="143"/>
      <c r="GJ8" s="143"/>
      <c r="GK8" s="143"/>
      <c r="GL8" s="143"/>
      <c r="GM8" s="143"/>
      <c r="GN8" s="143"/>
      <c r="GO8" s="143"/>
      <c r="GP8" s="143"/>
      <c r="GQ8" s="143"/>
      <c r="GR8" s="143"/>
      <c r="GS8" s="143"/>
      <c r="GT8" s="143"/>
      <c r="GU8" s="143"/>
      <c r="GV8" s="143"/>
      <c r="GW8" s="143"/>
      <c r="GX8" s="143"/>
      <c r="GY8" s="143"/>
    </row>
    <row r="9" spans="1:207" ht="13.5" customHeight="1" x14ac:dyDescent="0.35">
      <c r="A9" s="144"/>
      <c r="B9" s="152" t="s">
        <v>213</v>
      </c>
      <c r="C9" s="146"/>
      <c r="D9" s="146"/>
      <c r="E9" s="146"/>
      <c r="F9" s="146"/>
      <c r="G9" s="146"/>
      <c r="H9" s="151"/>
      <c r="I9" s="146"/>
      <c r="J9" s="144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143"/>
      <c r="AZ9" s="143"/>
      <c r="BA9" s="143"/>
      <c r="BB9" s="143"/>
      <c r="BC9" s="143"/>
      <c r="BD9" s="143"/>
      <c r="BE9" s="143"/>
      <c r="BF9" s="143"/>
      <c r="BG9" s="143"/>
      <c r="BH9" s="143"/>
      <c r="BI9" s="143"/>
      <c r="BJ9" s="143"/>
      <c r="BK9" s="143"/>
      <c r="BL9" s="143"/>
      <c r="BM9" s="143"/>
      <c r="BN9" s="143"/>
      <c r="BO9" s="143"/>
      <c r="BP9" s="143"/>
      <c r="BQ9" s="143"/>
      <c r="BR9" s="143"/>
      <c r="BS9" s="143"/>
      <c r="BT9" s="143"/>
      <c r="BU9" s="143"/>
      <c r="BV9" s="143"/>
      <c r="BW9" s="143"/>
      <c r="BX9" s="143"/>
      <c r="BY9" s="143"/>
      <c r="BZ9" s="143"/>
      <c r="CA9" s="143"/>
      <c r="CB9" s="143"/>
      <c r="CC9" s="143"/>
      <c r="CD9" s="143"/>
      <c r="CE9" s="143"/>
      <c r="CF9" s="143"/>
      <c r="CG9" s="143"/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43"/>
      <c r="DI9" s="143"/>
      <c r="DJ9" s="143"/>
      <c r="DK9" s="143"/>
      <c r="DL9" s="143"/>
      <c r="DM9" s="143"/>
      <c r="DN9" s="143"/>
      <c r="DO9" s="143"/>
      <c r="DP9" s="143"/>
      <c r="DQ9" s="143"/>
      <c r="DR9" s="143"/>
      <c r="DS9" s="143"/>
      <c r="DT9" s="143"/>
      <c r="DU9" s="143"/>
      <c r="DV9" s="143"/>
      <c r="DW9" s="143"/>
      <c r="DX9" s="143"/>
      <c r="DY9" s="143"/>
      <c r="DZ9" s="143"/>
      <c r="EA9" s="143"/>
      <c r="EB9" s="143"/>
      <c r="EC9" s="143"/>
      <c r="ED9" s="143"/>
      <c r="EE9" s="143"/>
      <c r="EF9" s="143"/>
      <c r="EG9" s="143"/>
      <c r="EH9" s="143"/>
      <c r="EI9" s="143"/>
      <c r="EJ9" s="143"/>
      <c r="EK9" s="143"/>
      <c r="EL9" s="143"/>
      <c r="EM9" s="143"/>
      <c r="EN9" s="143"/>
      <c r="EO9" s="143"/>
      <c r="EP9" s="143"/>
      <c r="EQ9" s="143"/>
      <c r="ER9" s="143"/>
      <c r="ES9" s="143"/>
      <c r="ET9" s="143"/>
      <c r="EU9" s="143"/>
      <c r="EV9" s="143"/>
      <c r="EW9" s="143"/>
      <c r="EX9" s="143"/>
      <c r="EY9" s="143"/>
      <c r="EZ9" s="143"/>
      <c r="FA9" s="143"/>
      <c r="FB9" s="143"/>
      <c r="FC9" s="143"/>
      <c r="FD9" s="143"/>
      <c r="FE9" s="143"/>
      <c r="FF9" s="143"/>
      <c r="FG9" s="143"/>
      <c r="FH9" s="143"/>
      <c r="FI9" s="143"/>
      <c r="FJ9" s="143"/>
      <c r="FK9" s="143"/>
      <c r="FL9" s="143"/>
      <c r="FM9" s="143"/>
      <c r="FN9" s="143"/>
      <c r="FO9" s="143"/>
      <c r="FP9" s="143"/>
      <c r="FQ9" s="143"/>
      <c r="FR9" s="143"/>
      <c r="FS9" s="143"/>
      <c r="FT9" s="143"/>
      <c r="FU9" s="143"/>
      <c r="FV9" s="143"/>
      <c r="FW9" s="143"/>
      <c r="FX9" s="143"/>
      <c r="FY9" s="143"/>
      <c r="FZ9" s="143"/>
      <c r="GA9" s="143"/>
      <c r="GB9" s="143"/>
      <c r="GC9" s="143"/>
      <c r="GD9" s="143"/>
      <c r="GE9" s="143"/>
      <c r="GF9" s="143"/>
      <c r="GG9" s="143"/>
      <c r="GH9" s="143"/>
      <c r="GI9" s="143"/>
      <c r="GJ9" s="143"/>
      <c r="GK9" s="143"/>
      <c r="GL9" s="143"/>
      <c r="GM9" s="143"/>
      <c r="GN9" s="143"/>
      <c r="GO9" s="143"/>
      <c r="GP9" s="143"/>
      <c r="GQ9" s="143"/>
      <c r="GR9" s="143"/>
      <c r="GS9" s="143"/>
      <c r="GT9" s="143"/>
      <c r="GU9" s="143"/>
      <c r="GV9" s="143"/>
      <c r="GW9" s="143"/>
      <c r="GX9" s="143"/>
      <c r="GY9" s="143"/>
    </row>
    <row r="10" spans="1:207" ht="13.5" customHeight="1" x14ac:dyDescent="0.35">
      <c r="A10" s="144"/>
      <c r="B10" s="148" t="s">
        <v>212</v>
      </c>
      <c r="C10" s="146"/>
      <c r="D10" s="146"/>
      <c r="E10" s="146"/>
      <c r="F10" s="146"/>
      <c r="G10" s="146"/>
      <c r="H10" s="150">
        <v>234</v>
      </c>
      <c r="I10" s="146" t="s">
        <v>42</v>
      </c>
      <c r="J10" s="144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/>
      <c r="BA10" s="143"/>
      <c r="BB10" s="143"/>
      <c r="BC10" s="143"/>
      <c r="BD10" s="143"/>
      <c r="BE10" s="143"/>
      <c r="BF10" s="143"/>
      <c r="BG10" s="143"/>
      <c r="BH10" s="143"/>
      <c r="BI10" s="143"/>
      <c r="BJ10" s="143"/>
      <c r="BK10" s="143"/>
      <c r="BL10" s="143"/>
      <c r="BM10" s="143"/>
      <c r="BN10" s="143"/>
      <c r="BO10" s="143"/>
      <c r="BP10" s="143"/>
      <c r="BQ10" s="143"/>
      <c r="BR10" s="143"/>
      <c r="BS10" s="143"/>
      <c r="BT10" s="143"/>
      <c r="BU10" s="143"/>
      <c r="BV10" s="143"/>
      <c r="BW10" s="143"/>
      <c r="BX10" s="143"/>
      <c r="BY10" s="143"/>
      <c r="BZ10" s="143"/>
      <c r="CA10" s="143"/>
      <c r="CB10" s="143"/>
      <c r="CC10" s="143"/>
      <c r="CD10" s="143"/>
      <c r="CE10" s="143"/>
      <c r="CF10" s="143"/>
      <c r="CG10" s="143"/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43"/>
      <c r="DI10" s="143"/>
      <c r="DJ10" s="143"/>
      <c r="DK10" s="143"/>
      <c r="DL10" s="143"/>
      <c r="DM10" s="143"/>
      <c r="DN10" s="143"/>
      <c r="DO10" s="143"/>
      <c r="DP10" s="143"/>
      <c r="DQ10" s="143"/>
      <c r="DR10" s="143"/>
      <c r="DS10" s="143"/>
      <c r="DT10" s="143"/>
      <c r="DU10" s="143"/>
      <c r="DV10" s="143"/>
      <c r="DW10" s="143"/>
      <c r="DX10" s="143"/>
      <c r="DY10" s="143"/>
      <c r="DZ10" s="143"/>
      <c r="EA10" s="143"/>
      <c r="EB10" s="143"/>
      <c r="EC10" s="143"/>
      <c r="ED10" s="143"/>
      <c r="EE10" s="143"/>
      <c r="EF10" s="143"/>
      <c r="EG10" s="143"/>
      <c r="EH10" s="143"/>
      <c r="EI10" s="143"/>
      <c r="EJ10" s="143"/>
      <c r="EK10" s="143"/>
      <c r="EL10" s="143"/>
      <c r="EM10" s="143"/>
      <c r="EN10" s="143"/>
      <c r="EO10" s="143"/>
      <c r="EP10" s="143"/>
      <c r="EQ10" s="143"/>
      <c r="ER10" s="143"/>
      <c r="ES10" s="143"/>
      <c r="ET10" s="143"/>
      <c r="EU10" s="143"/>
      <c r="EV10" s="143"/>
      <c r="EW10" s="143"/>
      <c r="EX10" s="143"/>
      <c r="EY10" s="143"/>
      <c r="EZ10" s="143"/>
      <c r="FA10" s="143"/>
      <c r="FB10" s="143"/>
      <c r="FC10" s="143"/>
      <c r="FD10" s="143"/>
      <c r="FE10" s="143"/>
      <c r="FF10" s="143"/>
      <c r="FG10" s="143"/>
      <c r="FH10" s="143"/>
      <c r="FI10" s="143"/>
      <c r="FJ10" s="143"/>
      <c r="FK10" s="143"/>
      <c r="FL10" s="143"/>
      <c r="FM10" s="143"/>
      <c r="FN10" s="143"/>
      <c r="FO10" s="143"/>
      <c r="FP10" s="143"/>
      <c r="FQ10" s="143"/>
      <c r="FR10" s="143"/>
      <c r="FS10" s="143"/>
      <c r="FT10" s="143"/>
      <c r="FU10" s="143"/>
      <c r="FV10" s="143"/>
      <c r="FW10" s="143"/>
      <c r="FX10" s="143"/>
      <c r="FY10" s="143"/>
      <c r="FZ10" s="143"/>
      <c r="GA10" s="143"/>
      <c r="GB10" s="143"/>
      <c r="GC10" s="143"/>
      <c r="GD10" s="143"/>
      <c r="GE10" s="143"/>
      <c r="GF10" s="143"/>
      <c r="GG10" s="143"/>
      <c r="GH10" s="143"/>
      <c r="GI10" s="143"/>
      <c r="GJ10" s="143"/>
      <c r="GK10" s="143"/>
      <c r="GL10" s="143"/>
      <c r="GM10" s="143"/>
      <c r="GN10" s="143"/>
      <c r="GO10" s="143"/>
      <c r="GP10" s="143"/>
      <c r="GQ10" s="143"/>
      <c r="GR10" s="143"/>
      <c r="GS10" s="143"/>
      <c r="GT10" s="143"/>
      <c r="GU10" s="143"/>
      <c r="GV10" s="143"/>
      <c r="GW10" s="143"/>
      <c r="GX10" s="143"/>
      <c r="GY10" s="143"/>
    </row>
    <row r="11" spans="1:207" ht="13.5" customHeight="1" x14ac:dyDescent="0.35">
      <c r="A11" s="144"/>
      <c r="B11" s="148" t="s">
        <v>211</v>
      </c>
      <c r="C11" s="146"/>
      <c r="D11" s="146"/>
      <c r="E11" s="146"/>
      <c r="F11" s="146"/>
      <c r="G11" s="146"/>
      <c r="H11" s="147">
        <f>H3*75*0.5/(H10*24*3.6)</f>
        <v>116.23041310541309</v>
      </c>
      <c r="I11" s="146" t="s">
        <v>28</v>
      </c>
      <c r="J11" s="144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3"/>
      <c r="AZ11" s="143"/>
      <c r="BA11" s="143"/>
      <c r="BB11" s="143"/>
      <c r="BC11" s="143"/>
      <c r="BD11" s="143"/>
      <c r="BE11" s="143"/>
      <c r="BF11" s="143"/>
      <c r="BG11" s="143"/>
      <c r="BH11" s="143"/>
      <c r="BI11" s="143"/>
      <c r="BJ11" s="143"/>
      <c r="BK11" s="143"/>
      <c r="BL11" s="143"/>
      <c r="BM11" s="143"/>
      <c r="BN11" s="143"/>
      <c r="BO11" s="143"/>
      <c r="BP11" s="143"/>
      <c r="BQ11" s="143"/>
      <c r="BR11" s="143"/>
      <c r="BS11" s="143"/>
      <c r="BT11" s="143"/>
      <c r="BU11" s="143"/>
      <c r="BV11" s="143"/>
      <c r="BW11" s="143"/>
      <c r="BX11" s="143"/>
      <c r="BY11" s="143"/>
      <c r="BZ11" s="143"/>
      <c r="CA11" s="143"/>
      <c r="CB11" s="143"/>
      <c r="CC11" s="143"/>
      <c r="CD11" s="143"/>
      <c r="CE11" s="143"/>
      <c r="CF11" s="143"/>
      <c r="CG11" s="143"/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43"/>
      <c r="DI11" s="143"/>
      <c r="DJ11" s="143"/>
      <c r="DK11" s="143"/>
      <c r="DL11" s="143"/>
      <c r="DM11" s="143"/>
      <c r="DN11" s="143"/>
      <c r="DO11" s="143"/>
      <c r="DP11" s="143"/>
      <c r="DQ11" s="143"/>
      <c r="DR11" s="143"/>
      <c r="DS11" s="143"/>
      <c r="DT11" s="143"/>
      <c r="DU11" s="143"/>
      <c r="DV11" s="143"/>
      <c r="DW11" s="143"/>
      <c r="DX11" s="143"/>
      <c r="DY11" s="143"/>
      <c r="DZ11" s="143"/>
      <c r="EA11" s="143"/>
      <c r="EB11" s="143"/>
      <c r="EC11" s="143"/>
      <c r="ED11" s="143"/>
      <c r="EE11" s="143"/>
      <c r="EF11" s="143"/>
      <c r="EG11" s="143"/>
      <c r="EH11" s="143"/>
      <c r="EI11" s="143"/>
      <c r="EJ11" s="143"/>
      <c r="EK11" s="143"/>
      <c r="EL11" s="143"/>
      <c r="EM11" s="143"/>
      <c r="EN11" s="143"/>
      <c r="EO11" s="143"/>
      <c r="EP11" s="143"/>
      <c r="EQ11" s="143"/>
      <c r="ER11" s="143"/>
      <c r="ES11" s="143"/>
      <c r="ET11" s="143"/>
      <c r="EU11" s="143"/>
      <c r="EV11" s="143"/>
      <c r="EW11" s="143"/>
      <c r="EX11" s="143"/>
      <c r="EY11" s="143"/>
      <c r="EZ11" s="143"/>
      <c r="FA11" s="143"/>
      <c r="FB11" s="143"/>
      <c r="FC11" s="143"/>
      <c r="FD11" s="143"/>
      <c r="FE11" s="143"/>
      <c r="FF11" s="143"/>
      <c r="FG11" s="143"/>
      <c r="FH11" s="143"/>
      <c r="FI11" s="143"/>
      <c r="FJ11" s="143"/>
      <c r="FK11" s="143"/>
      <c r="FL11" s="143"/>
      <c r="FM11" s="143"/>
      <c r="FN11" s="143"/>
      <c r="FO11" s="143"/>
      <c r="FP11" s="143"/>
      <c r="FQ11" s="143"/>
      <c r="FR11" s="143"/>
      <c r="FS11" s="143"/>
      <c r="FT11" s="143"/>
      <c r="FU11" s="143"/>
      <c r="FV11" s="143"/>
      <c r="FW11" s="143"/>
      <c r="FX11" s="143"/>
      <c r="FY11" s="143"/>
      <c r="FZ11" s="143"/>
      <c r="GA11" s="143"/>
      <c r="GB11" s="143"/>
      <c r="GC11" s="143"/>
      <c r="GD11" s="143"/>
      <c r="GE11" s="143"/>
      <c r="GF11" s="143"/>
      <c r="GG11" s="143"/>
      <c r="GH11" s="143"/>
      <c r="GI11" s="143"/>
      <c r="GJ11" s="143"/>
      <c r="GK11" s="143"/>
      <c r="GL11" s="143"/>
      <c r="GM11" s="143"/>
      <c r="GN11" s="143"/>
      <c r="GO11" s="143"/>
      <c r="GP11" s="143"/>
      <c r="GQ11" s="143"/>
      <c r="GR11" s="143"/>
      <c r="GS11" s="143"/>
      <c r="GT11" s="143"/>
      <c r="GU11" s="143"/>
      <c r="GV11" s="143"/>
      <c r="GW11" s="143"/>
      <c r="GX11" s="143"/>
      <c r="GY11" s="143"/>
    </row>
    <row r="12" spans="1:207" ht="13.5" customHeight="1" x14ac:dyDescent="0.35">
      <c r="A12" s="144"/>
      <c r="B12" s="148" t="s">
        <v>210</v>
      </c>
      <c r="C12" s="146"/>
      <c r="D12" s="146"/>
      <c r="E12" s="146"/>
      <c r="F12" s="146"/>
      <c r="G12" s="146"/>
      <c r="H12" s="149">
        <v>60</v>
      </c>
      <c r="I12" s="146"/>
      <c r="J12" s="144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/>
      <c r="AO12" s="143"/>
      <c r="AP12" s="143"/>
      <c r="AQ12" s="143"/>
      <c r="AR12" s="143"/>
      <c r="AS12" s="143"/>
      <c r="AT12" s="143"/>
      <c r="AU12" s="143"/>
      <c r="AV12" s="143"/>
      <c r="AW12" s="143"/>
      <c r="AX12" s="143"/>
      <c r="AY12" s="143"/>
      <c r="AZ12" s="143"/>
      <c r="BA12" s="143"/>
      <c r="BB12" s="143"/>
      <c r="BC12" s="143"/>
      <c r="BD12" s="143"/>
      <c r="BE12" s="143"/>
      <c r="BF12" s="143"/>
      <c r="BG12" s="143"/>
      <c r="BH12" s="143"/>
      <c r="BI12" s="143"/>
      <c r="BJ12" s="143"/>
      <c r="BK12" s="143"/>
      <c r="BL12" s="143"/>
      <c r="BM12" s="143"/>
      <c r="BN12" s="143"/>
      <c r="BO12" s="143"/>
      <c r="BP12" s="143"/>
      <c r="BQ12" s="143"/>
      <c r="BR12" s="143"/>
      <c r="BS12" s="143"/>
      <c r="BT12" s="143"/>
      <c r="BU12" s="143"/>
      <c r="BV12" s="143"/>
      <c r="BW12" s="143"/>
      <c r="BX12" s="143"/>
      <c r="BY12" s="143"/>
      <c r="BZ12" s="143"/>
      <c r="CA12" s="143"/>
      <c r="CB12" s="143"/>
      <c r="CC12" s="143"/>
      <c r="CD12" s="143"/>
      <c r="CE12" s="143"/>
      <c r="CF12" s="143"/>
      <c r="CG12" s="143"/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43"/>
      <c r="DI12" s="143"/>
      <c r="DJ12" s="143"/>
      <c r="DK12" s="143"/>
      <c r="DL12" s="143"/>
      <c r="DM12" s="143"/>
      <c r="DN12" s="143"/>
      <c r="DO12" s="143"/>
      <c r="DP12" s="143"/>
      <c r="DQ12" s="143"/>
      <c r="DR12" s="143"/>
      <c r="DS12" s="143"/>
      <c r="DT12" s="143"/>
      <c r="DU12" s="143"/>
      <c r="DV12" s="143"/>
      <c r="DW12" s="143"/>
      <c r="DX12" s="143"/>
      <c r="DY12" s="143"/>
      <c r="DZ12" s="143"/>
      <c r="EA12" s="143"/>
      <c r="EB12" s="143"/>
      <c r="EC12" s="143"/>
      <c r="ED12" s="143"/>
      <c r="EE12" s="143"/>
      <c r="EF12" s="143"/>
      <c r="EG12" s="143"/>
      <c r="EH12" s="143"/>
      <c r="EI12" s="143"/>
      <c r="EJ12" s="143"/>
      <c r="EK12" s="143"/>
      <c r="EL12" s="143"/>
      <c r="EM12" s="143"/>
      <c r="EN12" s="143"/>
      <c r="EO12" s="143"/>
      <c r="EP12" s="143"/>
      <c r="EQ12" s="143"/>
      <c r="ER12" s="143"/>
      <c r="ES12" s="143"/>
      <c r="ET12" s="143"/>
      <c r="EU12" s="143"/>
      <c r="EV12" s="143"/>
      <c r="EW12" s="143"/>
      <c r="EX12" s="143"/>
      <c r="EY12" s="143"/>
      <c r="EZ12" s="143"/>
      <c r="FA12" s="143"/>
      <c r="FB12" s="143"/>
      <c r="FC12" s="143"/>
      <c r="FD12" s="143"/>
      <c r="FE12" s="143"/>
      <c r="FF12" s="143"/>
      <c r="FG12" s="143"/>
      <c r="FH12" s="143"/>
      <c r="FI12" s="143"/>
      <c r="FJ12" s="143"/>
      <c r="FK12" s="143"/>
      <c r="FL12" s="143"/>
      <c r="FM12" s="143"/>
      <c r="FN12" s="143"/>
      <c r="FO12" s="143"/>
      <c r="FP12" s="143"/>
      <c r="FQ12" s="143"/>
      <c r="FR12" s="143"/>
      <c r="FS12" s="143"/>
      <c r="FT12" s="143"/>
      <c r="FU12" s="143"/>
      <c r="FV12" s="143"/>
      <c r="FW12" s="143"/>
      <c r="FX12" s="143"/>
      <c r="FY12" s="143"/>
      <c r="FZ12" s="143"/>
      <c r="GA12" s="143"/>
      <c r="GB12" s="143"/>
      <c r="GC12" s="143"/>
      <c r="GD12" s="143"/>
      <c r="GE12" s="143"/>
      <c r="GF12" s="143"/>
      <c r="GG12" s="143"/>
      <c r="GH12" s="143"/>
      <c r="GI12" s="143"/>
      <c r="GJ12" s="143"/>
      <c r="GK12" s="143"/>
      <c r="GL12" s="143"/>
      <c r="GM12" s="143"/>
      <c r="GN12" s="143"/>
      <c r="GO12" s="143"/>
      <c r="GP12" s="143"/>
      <c r="GQ12" s="143"/>
      <c r="GR12" s="143"/>
      <c r="GS12" s="143"/>
      <c r="GT12" s="143"/>
      <c r="GU12" s="143"/>
      <c r="GV12" s="143"/>
      <c r="GW12" s="143"/>
      <c r="GX12" s="143"/>
      <c r="GY12" s="143"/>
    </row>
    <row r="13" spans="1:207" ht="13.5" customHeight="1" x14ac:dyDescent="0.35">
      <c r="A13" s="144"/>
      <c r="B13" s="148"/>
      <c r="C13" s="146"/>
      <c r="D13" s="146"/>
      <c r="E13" s="146"/>
      <c r="F13" s="146"/>
      <c r="G13" s="146"/>
      <c r="H13" s="147">
        <f>H12*H10*3.6*24/1000</f>
        <v>1213.056</v>
      </c>
      <c r="I13" s="146" t="s">
        <v>160</v>
      </c>
      <c r="J13" s="144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3"/>
      <c r="AS13" s="143"/>
      <c r="AT13" s="143"/>
      <c r="AU13" s="143"/>
      <c r="AV13" s="143"/>
      <c r="AW13" s="143"/>
      <c r="AX13" s="143"/>
      <c r="AY13" s="143"/>
      <c r="AZ13" s="143"/>
      <c r="BA13" s="143"/>
      <c r="BB13" s="143"/>
      <c r="BC13" s="143"/>
      <c r="BD13" s="143"/>
      <c r="BE13" s="143"/>
      <c r="BF13" s="143"/>
      <c r="BG13" s="143"/>
      <c r="BH13" s="143"/>
      <c r="BI13" s="143"/>
      <c r="BJ13" s="143"/>
      <c r="BK13" s="143"/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3"/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/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3"/>
      <c r="FV13" s="143"/>
      <c r="FW13" s="143"/>
      <c r="FX13" s="143"/>
      <c r="FY13" s="143"/>
      <c r="FZ13" s="143"/>
      <c r="GA13" s="143"/>
      <c r="GB13" s="143"/>
      <c r="GC13" s="143"/>
      <c r="GD13" s="143"/>
      <c r="GE13" s="143"/>
      <c r="GF13" s="143"/>
      <c r="GG13" s="143"/>
      <c r="GH13" s="143"/>
      <c r="GI13" s="143"/>
      <c r="GJ13" s="143"/>
      <c r="GK13" s="143"/>
      <c r="GL13" s="143"/>
      <c r="GM13" s="143"/>
      <c r="GN13" s="143"/>
      <c r="GO13" s="143"/>
      <c r="GP13" s="143"/>
      <c r="GQ13" s="143"/>
      <c r="GR13" s="143"/>
      <c r="GS13" s="143"/>
      <c r="GT13" s="143"/>
      <c r="GU13" s="143"/>
      <c r="GV13" s="143"/>
      <c r="GW13" s="143"/>
      <c r="GX13" s="143"/>
      <c r="GY13" s="143"/>
    </row>
    <row r="14" spans="1:207" ht="13.5" customHeight="1" x14ac:dyDescent="0.35">
      <c r="A14" s="144"/>
      <c r="B14" s="143"/>
      <c r="C14" s="144"/>
      <c r="D14" s="144"/>
      <c r="E14" s="144"/>
      <c r="F14" s="144"/>
      <c r="G14" s="144"/>
      <c r="H14" s="145"/>
      <c r="I14" s="144"/>
      <c r="J14" s="144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O14" s="143"/>
      <c r="AP14" s="143"/>
      <c r="AQ14" s="143"/>
      <c r="AR14" s="143"/>
      <c r="AS14" s="143"/>
      <c r="AT14" s="143"/>
      <c r="AU14" s="143"/>
      <c r="AV14" s="143"/>
      <c r="AW14" s="143"/>
      <c r="AX14" s="143"/>
      <c r="AY14" s="143"/>
      <c r="AZ14" s="143"/>
      <c r="BA14" s="143"/>
      <c r="BB14" s="143"/>
      <c r="BC14" s="143"/>
      <c r="BD14" s="143"/>
      <c r="BE14" s="143"/>
      <c r="BF14" s="143"/>
      <c r="BG14" s="143"/>
      <c r="BH14" s="143"/>
      <c r="BI14" s="143"/>
      <c r="BJ14" s="143"/>
      <c r="BK14" s="143"/>
      <c r="BL14" s="143"/>
      <c r="BM14" s="143"/>
      <c r="BN14" s="143"/>
      <c r="BO14" s="143"/>
      <c r="BP14" s="143"/>
      <c r="BQ14" s="143"/>
      <c r="BR14" s="143"/>
      <c r="BS14" s="143"/>
      <c r="BT14" s="143"/>
      <c r="BU14" s="143"/>
      <c r="BV14" s="143"/>
      <c r="BW14" s="143"/>
      <c r="BX14" s="143"/>
      <c r="BY14" s="143"/>
      <c r="BZ14" s="143"/>
      <c r="CA14" s="143"/>
      <c r="CB14" s="143"/>
      <c r="CC14" s="143"/>
      <c r="CD14" s="143"/>
      <c r="CE14" s="143"/>
      <c r="CF14" s="143"/>
      <c r="CG14" s="143"/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43"/>
      <c r="DI14" s="143"/>
      <c r="DJ14" s="143"/>
      <c r="DK14" s="143"/>
      <c r="DL14" s="143"/>
      <c r="DM14" s="143"/>
      <c r="DN14" s="143"/>
      <c r="DO14" s="143"/>
      <c r="DP14" s="143"/>
      <c r="DQ14" s="143"/>
      <c r="DR14" s="143"/>
      <c r="DS14" s="143"/>
      <c r="DT14" s="143"/>
      <c r="DU14" s="143"/>
      <c r="DV14" s="143"/>
      <c r="DW14" s="143"/>
      <c r="DX14" s="143"/>
      <c r="DY14" s="143"/>
      <c r="DZ14" s="143"/>
      <c r="EA14" s="143"/>
      <c r="EB14" s="143"/>
      <c r="EC14" s="143"/>
      <c r="ED14" s="143"/>
      <c r="EE14" s="143"/>
      <c r="EF14" s="143"/>
      <c r="EG14" s="143"/>
      <c r="EH14" s="143"/>
      <c r="EI14" s="143"/>
      <c r="EJ14" s="143"/>
      <c r="EK14" s="143"/>
      <c r="EL14" s="143"/>
      <c r="EM14" s="143"/>
      <c r="EN14" s="143"/>
      <c r="EO14" s="143"/>
      <c r="EP14" s="143"/>
      <c r="EQ14" s="143"/>
      <c r="ER14" s="143"/>
      <c r="ES14" s="143"/>
      <c r="ET14" s="143"/>
      <c r="EU14" s="143"/>
      <c r="EV14" s="143"/>
      <c r="EW14" s="143"/>
      <c r="EX14" s="143"/>
      <c r="EY14" s="143"/>
      <c r="EZ14" s="143"/>
      <c r="FA14" s="143"/>
      <c r="FB14" s="143"/>
      <c r="FC14" s="143"/>
      <c r="FD14" s="143"/>
      <c r="FE14" s="143"/>
      <c r="FF14" s="143"/>
      <c r="FG14" s="143"/>
      <c r="FH14" s="143"/>
      <c r="FI14" s="143"/>
      <c r="FJ14" s="143"/>
      <c r="FK14" s="143"/>
      <c r="FL14" s="143"/>
      <c r="FM14" s="143"/>
      <c r="FN14" s="143"/>
      <c r="FO14" s="143"/>
      <c r="FP14" s="143"/>
      <c r="FQ14" s="143"/>
      <c r="FR14" s="143"/>
      <c r="FS14" s="143"/>
      <c r="FT14" s="143"/>
      <c r="FU14" s="143"/>
      <c r="FV14" s="143"/>
      <c r="FW14" s="143"/>
      <c r="FX14" s="143"/>
      <c r="FY14" s="143"/>
      <c r="FZ14" s="143"/>
      <c r="GA14" s="143"/>
      <c r="GB14" s="143"/>
      <c r="GC14" s="143"/>
      <c r="GD14" s="143"/>
      <c r="GE14" s="143"/>
      <c r="GF14" s="143"/>
      <c r="GG14" s="143"/>
      <c r="GH14" s="143"/>
      <c r="GI14" s="143"/>
      <c r="GJ14" s="143"/>
      <c r="GK14" s="143"/>
      <c r="GL14" s="143"/>
      <c r="GM14" s="143"/>
      <c r="GN14" s="143"/>
      <c r="GO14" s="143"/>
      <c r="GP14" s="143"/>
      <c r="GQ14" s="143"/>
      <c r="GR14" s="143"/>
      <c r="GS14" s="143"/>
      <c r="GT14" s="143"/>
      <c r="GU14" s="143"/>
      <c r="GV14" s="143"/>
      <c r="GW14" s="143"/>
      <c r="GX14" s="143"/>
      <c r="GY14" s="143"/>
    </row>
    <row r="15" spans="1:207" ht="13.5" customHeight="1" x14ac:dyDescent="0.35">
      <c r="A15" s="144"/>
      <c r="B15" s="143"/>
      <c r="C15" s="144"/>
      <c r="D15" s="144"/>
      <c r="E15" s="144"/>
      <c r="F15" s="144"/>
      <c r="G15" s="144"/>
      <c r="H15" s="145"/>
      <c r="I15" s="144"/>
      <c r="J15" s="144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43"/>
      <c r="AV15" s="143"/>
      <c r="AW15" s="143"/>
      <c r="AX15" s="143"/>
      <c r="AY15" s="143"/>
      <c r="AZ15" s="143"/>
      <c r="BA15" s="143"/>
      <c r="BB15" s="143"/>
      <c r="BC15" s="143"/>
      <c r="BD15" s="143"/>
      <c r="BE15" s="143"/>
      <c r="BF15" s="143"/>
      <c r="BG15" s="143"/>
      <c r="BH15" s="143"/>
      <c r="BI15" s="143"/>
      <c r="BJ15" s="143"/>
      <c r="BK15" s="143"/>
      <c r="BL15" s="143"/>
      <c r="BM15" s="143"/>
      <c r="BN15" s="143"/>
      <c r="BO15" s="143"/>
      <c r="BP15" s="143"/>
      <c r="BQ15" s="143"/>
      <c r="BR15" s="143"/>
      <c r="BS15" s="143"/>
      <c r="BT15" s="143"/>
      <c r="BU15" s="143"/>
      <c r="BV15" s="143"/>
      <c r="BW15" s="143"/>
      <c r="BX15" s="143"/>
      <c r="BY15" s="143"/>
      <c r="BZ15" s="143"/>
      <c r="CA15" s="143"/>
      <c r="CB15" s="143"/>
      <c r="CC15" s="143"/>
      <c r="CD15" s="143"/>
      <c r="CE15" s="143"/>
      <c r="CF15" s="143"/>
      <c r="CG15" s="143"/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43"/>
      <c r="DI15" s="143"/>
      <c r="DJ15" s="143"/>
      <c r="DK15" s="143"/>
      <c r="DL15" s="143"/>
      <c r="DM15" s="143"/>
      <c r="DN15" s="143"/>
      <c r="DO15" s="143"/>
      <c r="DP15" s="143"/>
      <c r="DQ15" s="143"/>
      <c r="DR15" s="143"/>
      <c r="DS15" s="143"/>
      <c r="DT15" s="143"/>
      <c r="DU15" s="143"/>
      <c r="DV15" s="143"/>
      <c r="DW15" s="143"/>
      <c r="DX15" s="143"/>
      <c r="DY15" s="143"/>
      <c r="DZ15" s="143"/>
      <c r="EA15" s="143"/>
      <c r="EB15" s="143"/>
      <c r="EC15" s="143"/>
      <c r="ED15" s="143"/>
      <c r="EE15" s="143"/>
      <c r="EF15" s="143"/>
      <c r="EG15" s="143"/>
      <c r="EH15" s="143"/>
      <c r="EI15" s="143"/>
      <c r="EJ15" s="143"/>
      <c r="EK15" s="143"/>
      <c r="EL15" s="143"/>
      <c r="EM15" s="143"/>
      <c r="EN15" s="143"/>
      <c r="EO15" s="143"/>
      <c r="EP15" s="143"/>
      <c r="EQ15" s="143"/>
      <c r="ER15" s="143"/>
      <c r="ES15" s="143"/>
      <c r="ET15" s="143"/>
      <c r="EU15" s="143"/>
      <c r="EV15" s="143"/>
      <c r="EW15" s="143"/>
      <c r="EX15" s="143"/>
      <c r="EY15" s="143"/>
      <c r="EZ15" s="143"/>
      <c r="FA15" s="143"/>
      <c r="FB15" s="143"/>
      <c r="FC15" s="143"/>
      <c r="FD15" s="143"/>
      <c r="FE15" s="143"/>
      <c r="FF15" s="143"/>
      <c r="FG15" s="143"/>
      <c r="FH15" s="143"/>
      <c r="FI15" s="143"/>
      <c r="FJ15" s="143"/>
      <c r="FK15" s="143"/>
      <c r="FL15" s="143"/>
      <c r="FM15" s="143"/>
      <c r="FN15" s="143"/>
      <c r="FO15" s="143"/>
      <c r="FP15" s="143"/>
      <c r="FQ15" s="143"/>
      <c r="FR15" s="143"/>
      <c r="FS15" s="143"/>
      <c r="FT15" s="143"/>
      <c r="FU15" s="143"/>
      <c r="FV15" s="143"/>
      <c r="FW15" s="143"/>
      <c r="FX15" s="143"/>
      <c r="FY15" s="143"/>
      <c r="FZ15" s="143"/>
      <c r="GA15" s="143"/>
      <c r="GB15" s="143"/>
      <c r="GC15" s="143"/>
      <c r="GD15" s="143"/>
      <c r="GE15" s="143"/>
      <c r="GF15" s="143"/>
      <c r="GG15" s="143"/>
      <c r="GH15" s="143"/>
      <c r="GI15" s="143"/>
      <c r="GJ15" s="143"/>
      <c r="GK15" s="143"/>
      <c r="GL15" s="143"/>
      <c r="GM15" s="143"/>
      <c r="GN15" s="143"/>
      <c r="GO15" s="143"/>
      <c r="GP15" s="143"/>
      <c r="GQ15" s="143"/>
      <c r="GR15" s="143"/>
      <c r="GS15" s="143"/>
      <c r="GT15" s="143"/>
      <c r="GU15" s="143"/>
      <c r="GV15" s="143"/>
      <c r="GW15" s="143"/>
      <c r="GX15" s="143"/>
      <c r="GY15" s="143"/>
    </row>
    <row r="16" spans="1:207" ht="13.5" customHeight="1" x14ac:dyDescent="0.35">
      <c r="A16" s="144"/>
      <c r="B16" s="143"/>
      <c r="C16" s="144"/>
      <c r="D16" s="144"/>
      <c r="E16" s="144"/>
      <c r="F16" s="144"/>
      <c r="G16" s="144"/>
      <c r="H16" s="145"/>
      <c r="I16" s="144"/>
      <c r="J16" s="144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AZ16" s="143"/>
      <c r="BA16" s="143"/>
      <c r="BB16" s="143"/>
      <c r="BC16" s="143"/>
      <c r="BD16" s="143"/>
      <c r="BE16" s="143"/>
      <c r="BF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  <c r="BR16" s="143"/>
      <c r="BS16" s="143"/>
      <c r="BT16" s="143"/>
      <c r="BU16" s="143"/>
      <c r="BV16" s="143"/>
      <c r="BW16" s="143"/>
      <c r="BX16" s="143"/>
      <c r="BY16" s="143"/>
      <c r="BZ16" s="143"/>
      <c r="CA16" s="143"/>
      <c r="CB16" s="143"/>
      <c r="CC16" s="143"/>
      <c r="CD16" s="143"/>
      <c r="CE16" s="143"/>
      <c r="CF16" s="143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43"/>
      <c r="DI16" s="143"/>
      <c r="DJ16" s="143"/>
      <c r="DK16" s="143"/>
      <c r="DL16" s="143"/>
      <c r="DM16" s="143"/>
      <c r="DN16" s="143"/>
      <c r="DO16" s="143"/>
      <c r="DP16" s="143"/>
      <c r="DQ16" s="143"/>
      <c r="DR16" s="143"/>
      <c r="DS16" s="143"/>
      <c r="DT16" s="143"/>
      <c r="DU16" s="143"/>
      <c r="DV16" s="143"/>
      <c r="DW16" s="143"/>
      <c r="DX16" s="143"/>
      <c r="DY16" s="143"/>
      <c r="DZ16" s="143"/>
      <c r="EA16" s="143"/>
      <c r="EB16" s="143"/>
      <c r="EC16" s="143"/>
      <c r="ED16" s="143"/>
      <c r="EE16" s="143"/>
      <c r="EF16" s="143"/>
      <c r="EG16" s="143"/>
      <c r="EH16" s="143"/>
      <c r="EI16" s="143"/>
      <c r="EJ16" s="143"/>
      <c r="EK16" s="143"/>
      <c r="EL16" s="143"/>
      <c r="EM16" s="143"/>
      <c r="EN16" s="143"/>
      <c r="EO16" s="143"/>
      <c r="EP16" s="143"/>
      <c r="EQ16" s="143"/>
      <c r="ER16" s="143"/>
      <c r="ES16" s="143"/>
      <c r="ET16" s="143"/>
      <c r="EU16" s="143"/>
      <c r="EV16" s="143"/>
      <c r="EW16" s="143"/>
      <c r="EX16" s="143"/>
      <c r="EY16" s="143"/>
      <c r="EZ16" s="143"/>
      <c r="FA16" s="143"/>
      <c r="FB16" s="143"/>
      <c r="FC16" s="143"/>
      <c r="FD16" s="143"/>
      <c r="FE16" s="143"/>
      <c r="FF16" s="143"/>
      <c r="FG16" s="143"/>
      <c r="FH16" s="143"/>
      <c r="FI16" s="143"/>
      <c r="FJ16" s="143"/>
      <c r="FK16" s="143"/>
      <c r="FL16" s="143"/>
      <c r="FM16" s="143"/>
      <c r="FN16" s="143"/>
      <c r="FO16" s="143"/>
      <c r="FP16" s="143"/>
      <c r="FQ16" s="143"/>
      <c r="FR16" s="143"/>
      <c r="FS16" s="143"/>
      <c r="FT16" s="143"/>
      <c r="FU16" s="143"/>
      <c r="FV16" s="143"/>
      <c r="FW16" s="143"/>
      <c r="FX16" s="143"/>
      <c r="FY16" s="143"/>
      <c r="FZ16" s="143"/>
      <c r="GA16" s="143"/>
      <c r="GB16" s="143"/>
      <c r="GC16" s="143"/>
      <c r="GD16" s="143"/>
      <c r="GE16" s="143"/>
      <c r="GF16" s="143"/>
      <c r="GG16" s="143"/>
      <c r="GH16" s="143"/>
      <c r="GI16" s="143"/>
      <c r="GJ16" s="143"/>
      <c r="GK16" s="143"/>
      <c r="GL16" s="143"/>
      <c r="GM16" s="143"/>
      <c r="GN16" s="143"/>
      <c r="GO16" s="143"/>
      <c r="GP16" s="143"/>
      <c r="GQ16" s="143"/>
      <c r="GR16" s="143"/>
      <c r="GS16" s="143"/>
      <c r="GT16" s="143"/>
      <c r="GU16" s="143"/>
      <c r="GV16" s="143"/>
      <c r="GW16" s="143"/>
      <c r="GX16" s="143"/>
      <c r="GY16" s="143"/>
    </row>
    <row r="17" spans="1:207" ht="13.5" customHeight="1" x14ac:dyDescent="0.35">
      <c r="A17" s="144"/>
      <c r="B17" s="143"/>
      <c r="C17" s="144"/>
      <c r="D17" s="144"/>
      <c r="E17" s="144"/>
      <c r="F17" s="144"/>
      <c r="G17" s="144"/>
      <c r="H17" s="145"/>
      <c r="I17" s="144"/>
      <c r="J17" s="144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/>
      <c r="AN17" s="143"/>
      <c r="AO17" s="143"/>
      <c r="AP17" s="143"/>
      <c r="AQ17" s="143"/>
      <c r="AR17" s="143"/>
      <c r="AS17" s="143"/>
      <c r="AT17" s="143"/>
      <c r="AU17" s="143"/>
      <c r="AV17" s="143"/>
      <c r="AW17" s="143"/>
      <c r="AX17" s="143"/>
      <c r="AY17" s="143"/>
      <c r="AZ17" s="143"/>
      <c r="BA17" s="143"/>
      <c r="BB17" s="143"/>
      <c r="BC17" s="143"/>
      <c r="BD17" s="143"/>
      <c r="BE17" s="143"/>
      <c r="BF17" s="143"/>
      <c r="BG17" s="143"/>
      <c r="BH17" s="143"/>
      <c r="BI17" s="143"/>
      <c r="BJ17" s="143"/>
      <c r="BK17" s="143"/>
      <c r="BL17" s="143"/>
      <c r="BM17" s="143"/>
      <c r="BN17" s="143"/>
      <c r="BO17" s="143"/>
      <c r="BP17" s="143"/>
      <c r="BQ17" s="143"/>
      <c r="BR17" s="143"/>
      <c r="BS17" s="143"/>
      <c r="BT17" s="143"/>
      <c r="BU17" s="143"/>
      <c r="BV17" s="143"/>
      <c r="BW17" s="143"/>
      <c r="BX17" s="143"/>
      <c r="BY17" s="143"/>
      <c r="BZ17" s="143"/>
      <c r="CA17" s="143"/>
      <c r="CB17" s="143"/>
      <c r="CC17" s="143"/>
      <c r="CD17" s="143"/>
      <c r="CE17" s="143"/>
      <c r="CF17" s="143"/>
      <c r="CG17" s="143"/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43"/>
      <c r="DI17" s="143"/>
      <c r="DJ17" s="143"/>
      <c r="DK17" s="143"/>
      <c r="DL17" s="143"/>
      <c r="DM17" s="143"/>
      <c r="DN17" s="143"/>
      <c r="DO17" s="143"/>
      <c r="DP17" s="143"/>
      <c r="DQ17" s="143"/>
      <c r="DR17" s="143"/>
      <c r="DS17" s="143"/>
      <c r="DT17" s="143"/>
      <c r="DU17" s="143"/>
      <c r="DV17" s="143"/>
      <c r="DW17" s="143"/>
      <c r="DX17" s="143"/>
      <c r="DY17" s="143"/>
      <c r="DZ17" s="143"/>
      <c r="EA17" s="143"/>
      <c r="EB17" s="143"/>
      <c r="EC17" s="143"/>
      <c r="ED17" s="143"/>
      <c r="EE17" s="143"/>
      <c r="EF17" s="143"/>
      <c r="EG17" s="143"/>
      <c r="EH17" s="143"/>
      <c r="EI17" s="143"/>
      <c r="EJ17" s="143"/>
      <c r="EK17" s="143"/>
      <c r="EL17" s="143"/>
      <c r="EM17" s="143"/>
      <c r="EN17" s="143"/>
      <c r="EO17" s="143"/>
      <c r="EP17" s="143"/>
      <c r="EQ17" s="143"/>
      <c r="ER17" s="143"/>
      <c r="ES17" s="143"/>
      <c r="ET17" s="143"/>
      <c r="EU17" s="143"/>
      <c r="EV17" s="143"/>
      <c r="EW17" s="143"/>
      <c r="EX17" s="143"/>
      <c r="EY17" s="143"/>
      <c r="EZ17" s="143"/>
      <c r="FA17" s="143"/>
      <c r="FB17" s="143"/>
      <c r="FC17" s="143"/>
      <c r="FD17" s="143"/>
      <c r="FE17" s="143"/>
      <c r="FF17" s="143"/>
      <c r="FG17" s="143"/>
      <c r="FH17" s="143"/>
      <c r="FI17" s="143"/>
      <c r="FJ17" s="143"/>
      <c r="FK17" s="143"/>
      <c r="FL17" s="143"/>
      <c r="FM17" s="143"/>
      <c r="FN17" s="143"/>
      <c r="FO17" s="143"/>
      <c r="FP17" s="143"/>
      <c r="FQ17" s="143"/>
      <c r="FR17" s="143"/>
      <c r="FS17" s="143"/>
      <c r="FT17" s="143"/>
      <c r="FU17" s="143"/>
      <c r="FV17" s="143"/>
      <c r="FW17" s="143"/>
      <c r="FX17" s="143"/>
      <c r="FY17" s="143"/>
      <c r="FZ17" s="143"/>
      <c r="GA17" s="143"/>
      <c r="GB17" s="143"/>
      <c r="GC17" s="143"/>
      <c r="GD17" s="143"/>
      <c r="GE17" s="143"/>
      <c r="GF17" s="143"/>
      <c r="GG17" s="143"/>
      <c r="GH17" s="143"/>
      <c r="GI17" s="143"/>
      <c r="GJ17" s="143"/>
      <c r="GK17" s="143"/>
      <c r="GL17" s="143"/>
      <c r="GM17" s="143"/>
      <c r="GN17" s="143"/>
      <c r="GO17" s="143"/>
      <c r="GP17" s="143"/>
      <c r="GQ17" s="143"/>
      <c r="GR17" s="143"/>
      <c r="GS17" s="143"/>
      <c r="GT17" s="143"/>
      <c r="GU17" s="143"/>
      <c r="GV17" s="143"/>
      <c r="GW17" s="143"/>
      <c r="GX17" s="143"/>
      <c r="GY17" s="143"/>
    </row>
    <row r="18" spans="1:207" s="54" customFormat="1" ht="13.5" customHeight="1" x14ac:dyDescent="0.3">
      <c r="A18" s="24"/>
      <c r="B18" s="87" t="s">
        <v>209</v>
      </c>
      <c r="C18" s="24"/>
      <c r="D18" s="24"/>
      <c r="E18" s="24"/>
      <c r="F18" s="20"/>
      <c r="G18" s="24"/>
      <c r="H18" s="24"/>
      <c r="I18" s="19"/>
      <c r="J18" s="24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  <c r="DO18" s="56"/>
      <c r="DP18" s="56"/>
      <c r="DQ18" s="56"/>
      <c r="DR18" s="56"/>
      <c r="DS18" s="56"/>
      <c r="DT18" s="56"/>
      <c r="DU18" s="56"/>
      <c r="DV18" s="56"/>
      <c r="DW18" s="56"/>
      <c r="DX18" s="56"/>
      <c r="DY18" s="56"/>
      <c r="DZ18" s="56"/>
      <c r="EA18" s="56"/>
      <c r="EB18" s="56"/>
      <c r="EC18" s="56"/>
      <c r="ED18" s="56"/>
      <c r="EE18" s="56"/>
      <c r="EF18" s="56"/>
      <c r="EG18" s="56"/>
      <c r="EH18" s="56"/>
      <c r="EI18" s="56"/>
      <c r="EJ18" s="56"/>
      <c r="EK18" s="56"/>
      <c r="EL18" s="56"/>
      <c r="EM18" s="56"/>
      <c r="EN18" s="56"/>
      <c r="EO18" s="56"/>
      <c r="EP18" s="56"/>
      <c r="EQ18" s="56"/>
      <c r="ER18" s="56"/>
      <c r="ES18" s="56"/>
      <c r="ET18" s="56"/>
      <c r="EU18" s="56"/>
      <c r="EV18" s="56"/>
      <c r="EW18" s="56"/>
      <c r="EX18" s="56"/>
      <c r="EY18" s="56"/>
      <c r="EZ18" s="56"/>
      <c r="FA18" s="56"/>
      <c r="FB18" s="56"/>
      <c r="FC18" s="56"/>
      <c r="FD18" s="56"/>
      <c r="FE18" s="56"/>
      <c r="FF18" s="56"/>
      <c r="FG18" s="56"/>
      <c r="FH18" s="56"/>
      <c r="FI18" s="56"/>
      <c r="FJ18" s="56"/>
      <c r="FK18" s="56"/>
      <c r="FL18" s="56"/>
      <c r="FM18" s="56"/>
      <c r="FN18" s="56"/>
      <c r="FO18" s="56"/>
      <c r="FP18" s="56"/>
      <c r="FQ18" s="56"/>
      <c r="FR18" s="56"/>
      <c r="FS18" s="56"/>
      <c r="FT18" s="56"/>
      <c r="FU18" s="56"/>
      <c r="FV18" s="56"/>
      <c r="FW18" s="56"/>
      <c r="FX18" s="56"/>
      <c r="FY18" s="56"/>
      <c r="FZ18" s="56"/>
      <c r="GA18" s="56"/>
      <c r="GB18" s="56"/>
      <c r="GC18" s="56"/>
      <c r="GD18" s="56"/>
      <c r="GE18" s="56"/>
      <c r="GF18" s="56"/>
      <c r="GG18" s="56"/>
      <c r="GH18" s="56"/>
      <c r="GI18" s="56"/>
      <c r="GJ18" s="56"/>
      <c r="GK18" s="56"/>
      <c r="GL18" s="56"/>
      <c r="GM18" s="56"/>
      <c r="GN18" s="56"/>
      <c r="GO18" s="56"/>
      <c r="GP18" s="56"/>
      <c r="GQ18" s="56"/>
      <c r="GR18" s="56"/>
      <c r="GS18" s="56"/>
      <c r="GT18" s="56"/>
      <c r="GU18" s="56"/>
      <c r="GV18" s="56"/>
      <c r="GW18" s="56"/>
      <c r="GX18" s="56"/>
      <c r="GY18" s="56"/>
    </row>
    <row r="19" spans="1:207" s="54" customFormat="1" ht="13.5" customHeight="1" x14ac:dyDescent="0.3">
      <c r="A19" s="24"/>
      <c r="B19" s="24" t="s">
        <v>208</v>
      </c>
      <c r="C19" s="24"/>
      <c r="D19" s="24"/>
      <c r="E19" s="24"/>
      <c r="F19" s="24"/>
      <c r="G19" s="24"/>
      <c r="H19" s="88">
        <v>0</v>
      </c>
      <c r="I19" s="24" t="s">
        <v>14</v>
      </c>
      <c r="J19" s="24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  <c r="DO19" s="56"/>
      <c r="DP19" s="56"/>
      <c r="DQ19" s="56"/>
      <c r="DR19" s="56"/>
      <c r="DS19" s="56"/>
      <c r="DT19" s="56"/>
      <c r="DU19" s="56"/>
      <c r="DV19" s="56"/>
      <c r="DW19" s="56"/>
      <c r="DX19" s="56"/>
      <c r="DY19" s="56"/>
      <c r="DZ19" s="56"/>
      <c r="EA19" s="56"/>
      <c r="EB19" s="56"/>
      <c r="EC19" s="56"/>
      <c r="ED19" s="56"/>
      <c r="EE19" s="56"/>
      <c r="EF19" s="56"/>
      <c r="EG19" s="56"/>
      <c r="EH19" s="56"/>
      <c r="EI19" s="56"/>
      <c r="EJ19" s="56"/>
      <c r="EK19" s="56"/>
      <c r="EL19" s="56"/>
      <c r="EM19" s="56"/>
      <c r="EN19" s="56"/>
      <c r="EO19" s="56"/>
      <c r="EP19" s="56"/>
      <c r="EQ19" s="56"/>
      <c r="ER19" s="56"/>
      <c r="ES19" s="56"/>
      <c r="ET19" s="56"/>
      <c r="EU19" s="56"/>
      <c r="EV19" s="56"/>
      <c r="EW19" s="56"/>
      <c r="EX19" s="56"/>
      <c r="EY19" s="56"/>
      <c r="EZ19" s="56"/>
      <c r="FA19" s="56"/>
      <c r="FB19" s="56"/>
      <c r="FC19" s="56"/>
      <c r="FD19" s="56"/>
      <c r="FE19" s="56"/>
      <c r="FF19" s="56"/>
      <c r="FG19" s="56"/>
      <c r="FH19" s="56"/>
      <c r="FI19" s="56"/>
      <c r="FJ19" s="56"/>
      <c r="FK19" s="56"/>
      <c r="FL19" s="56"/>
      <c r="FM19" s="56"/>
      <c r="FN19" s="56"/>
      <c r="FO19" s="56"/>
      <c r="FP19" s="56"/>
      <c r="FQ19" s="56"/>
      <c r="FR19" s="56"/>
      <c r="FS19" s="56"/>
      <c r="FT19" s="56"/>
      <c r="FU19" s="56"/>
      <c r="FV19" s="56"/>
      <c r="FW19" s="56"/>
      <c r="FX19" s="56"/>
      <c r="FY19" s="56"/>
      <c r="FZ19" s="56"/>
      <c r="GA19" s="56"/>
      <c r="GB19" s="56"/>
      <c r="GC19" s="56"/>
      <c r="GD19" s="56"/>
      <c r="GE19" s="56"/>
      <c r="GF19" s="56"/>
      <c r="GG19" s="56"/>
      <c r="GH19" s="56"/>
      <c r="GI19" s="56"/>
      <c r="GJ19" s="56"/>
      <c r="GK19" s="56"/>
      <c r="GL19" s="56"/>
      <c r="GM19" s="56"/>
      <c r="GN19" s="56"/>
      <c r="GO19" s="56"/>
      <c r="GP19" s="56"/>
      <c r="GQ19" s="56"/>
      <c r="GR19" s="56"/>
      <c r="GS19" s="56"/>
      <c r="GT19" s="56"/>
      <c r="GU19" s="56"/>
      <c r="GV19" s="56"/>
      <c r="GW19" s="56"/>
      <c r="GX19" s="56"/>
      <c r="GY19" s="56"/>
    </row>
    <row r="20" spans="1:207" s="54" customFormat="1" ht="13.5" customHeight="1" x14ac:dyDescent="0.3">
      <c r="A20" s="24"/>
      <c r="B20" s="24" t="s">
        <v>207</v>
      </c>
      <c r="C20" s="24"/>
      <c r="D20" s="24"/>
      <c r="E20" s="24"/>
      <c r="F20" s="24"/>
      <c r="G20" s="24"/>
      <c r="H20" s="42">
        <v>9999</v>
      </c>
      <c r="I20" s="24" t="s">
        <v>14</v>
      </c>
      <c r="J20" s="24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  <c r="DD20" s="56"/>
      <c r="DE20" s="56"/>
      <c r="DF20" s="56"/>
      <c r="DG20" s="56"/>
      <c r="DH20" s="56"/>
      <c r="DI20" s="56"/>
      <c r="DJ20" s="56"/>
      <c r="DK20" s="56"/>
      <c r="DL20" s="56"/>
      <c r="DM20" s="56"/>
      <c r="DN20" s="56"/>
      <c r="DO20" s="56"/>
      <c r="DP20" s="56"/>
      <c r="DQ20" s="56"/>
      <c r="DR20" s="56"/>
      <c r="DS20" s="56"/>
      <c r="DT20" s="56"/>
      <c r="DU20" s="56"/>
      <c r="DV20" s="56"/>
      <c r="DW20" s="56"/>
      <c r="DX20" s="56"/>
      <c r="DY20" s="56"/>
      <c r="DZ20" s="56"/>
      <c r="EA20" s="56"/>
      <c r="EB20" s="56"/>
      <c r="EC20" s="56"/>
      <c r="ED20" s="56"/>
      <c r="EE20" s="56"/>
      <c r="EF20" s="56"/>
      <c r="EG20" s="56"/>
      <c r="EH20" s="56"/>
      <c r="EI20" s="56"/>
      <c r="EJ20" s="56"/>
      <c r="EK20" s="56"/>
      <c r="EL20" s="56"/>
      <c r="EM20" s="56"/>
      <c r="EN20" s="56"/>
      <c r="EO20" s="56"/>
      <c r="EP20" s="56"/>
      <c r="EQ20" s="56"/>
      <c r="ER20" s="56"/>
      <c r="ES20" s="56"/>
      <c r="ET20" s="56"/>
      <c r="EU20" s="56"/>
      <c r="EV20" s="56"/>
      <c r="EW20" s="56"/>
      <c r="EX20" s="56"/>
      <c r="EY20" s="56"/>
      <c r="EZ20" s="56"/>
      <c r="FA20" s="56"/>
      <c r="FB20" s="56"/>
      <c r="FC20" s="56"/>
      <c r="FD20" s="56"/>
      <c r="FE20" s="56"/>
      <c r="FF20" s="56"/>
      <c r="FG20" s="56"/>
      <c r="FH20" s="56"/>
      <c r="FI20" s="56"/>
      <c r="FJ20" s="56"/>
      <c r="FK20" s="56"/>
      <c r="FL20" s="56"/>
      <c r="FM20" s="56"/>
      <c r="FN20" s="56"/>
      <c r="FO20" s="56"/>
      <c r="FP20" s="56"/>
      <c r="FQ20" s="56"/>
      <c r="FR20" s="56"/>
      <c r="FS20" s="56"/>
      <c r="FT20" s="56"/>
      <c r="FU20" s="56"/>
      <c r="FV20" s="56"/>
      <c r="FW20" s="56"/>
      <c r="FX20" s="56"/>
      <c r="FY20" s="56"/>
      <c r="FZ20" s="56"/>
      <c r="GA20" s="56"/>
      <c r="GB20" s="56"/>
      <c r="GC20" s="56"/>
      <c r="GD20" s="56"/>
      <c r="GE20" s="56"/>
      <c r="GF20" s="56"/>
      <c r="GG20" s="56"/>
      <c r="GH20" s="56"/>
      <c r="GI20" s="56"/>
      <c r="GJ20" s="56"/>
      <c r="GK20" s="56"/>
      <c r="GL20" s="56"/>
      <c r="GM20" s="56"/>
      <c r="GN20" s="56"/>
      <c r="GO20" s="56"/>
      <c r="GP20" s="56"/>
      <c r="GQ20" s="56"/>
      <c r="GR20" s="56"/>
      <c r="GS20" s="56"/>
      <c r="GT20" s="56"/>
      <c r="GU20" s="56"/>
      <c r="GV20" s="56"/>
      <c r="GW20" s="56"/>
      <c r="GX20" s="56"/>
      <c r="GY20" s="56"/>
    </row>
    <row r="21" spans="1:207" s="54" customFormat="1" ht="13.5" customHeight="1" x14ac:dyDescent="0.3">
      <c r="A21" s="24"/>
      <c r="B21" s="24" t="s">
        <v>60</v>
      </c>
      <c r="C21" s="24"/>
      <c r="D21" s="24"/>
      <c r="E21" s="24"/>
      <c r="F21" s="24"/>
      <c r="G21" s="24"/>
      <c r="H21" s="26">
        <f>H19+H20</f>
        <v>9999</v>
      </c>
      <c r="I21" s="24" t="s">
        <v>14</v>
      </c>
      <c r="J21" s="24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56"/>
      <c r="CY21" s="56"/>
      <c r="CZ21" s="56"/>
      <c r="DA21" s="56"/>
      <c r="DB21" s="56"/>
      <c r="DC21" s="56"/>
      <c r="DD21" s="56"/>
      <c r="DE21" s="56"/>
      <c r="DF21" s="56"/>
      <c r="DG21" s="56"/>
      <c r="DH21" s="56"/>
      <c r="DI21" s="56"/>
      <c r="DJ21" s="56"/>
      <c r="DK21" s="56"/>
      <c r="DL21" s="56"/>
      <c r="DM21" s="56"/>
      <c r="DN21" s="56"/>
      <c r="DO21" s="56"/>
      <c r="DP21" s="56"/>
      <c r="DQ21" s="56"/>
      <c r="DR21" s="56"/>
      <c r="DS21" s="56"/>
      <c r="DT21" s="56"/>
      <c r="DU21" s="56"/>
      <c r="DV21" s="56"/>
      <c r="DW21" s="56"/>
      <c r="DX21" s="56"/>
      <c r="DY21" s="56"/>
      <c r="DZ21" s="56"/>
      <c r="EA21" s="56"/>
      <c r="EB21" s="56"/>
      <c r="EC21" s="56"/>
      <c r="ED21" s="56"/>
      <c r="EE21" s="56"/>
      <c r="EF21" s="56"/>
      <c r="EG21" s="56"/>
      <c r="EH21" s="56"/>
      <c r="EI21" s="56"/>
      <c r="EJ21" s="56"/>
      <c r="EK21" s="56"/>
      <c r="EL21" s="56"/>
      <c r="EM21" s="56"/>
      <c r="EN21" s="56"/>
      <c r="EO21" s="56"/>
      <c r="EP21" s="56"/>
      <c r="EQ21" s="56"/>
      <c r="ER21" s="56"/>
      <c r="ES21" s="56"/>
      <c r="ET21" s="56"/>
      <c r="EU21" s="56"/>
      <c r="EV21" s="56"/>
      <c r="EW21" s="56"/>
      <c r="EX21" s="56"/>
      <c r="EY21" s="56"/>
      <c r="EZ21" s="56"/>
      <c r="FA21" s="56"/>
      <c r="FB21" s="56"/>
      <c r="FC21" s="56"/>
      <c r="FD21" s="56"/>
      <c r="FE21" s="56"/>
      <c r="FF21" s="56"/>
      <c r="FG21" s="56"/>
      <c r="FH21" s="56"/>
      <c r="FI21" s="56"/>
      <c r="FJ21" s="56"/>
      <c r="FK21" s="56"/>
      <c r="FL21" s="56"/>
      <c r="FM21" s="56"/>
      <c r="FN21" s="56"/>
      <c r="FO21" s="56"/>
      <c r="FP21" s="56"/>
      <c r="FQ21" s="56"/>
      <c r="FR21" s="56"/>
      <c r="FS21" s="56"/>
      <c r="FT21" s="56"/>
      <c r="FU21" s="56"/>
      <c r="FV21" s="56"/>
      <c r="FW21" s="56"/>
      <c r="FX21" s="56"/>
      <c r="FY21" s="56"/>
      <c r="FZ21" s="56"/>
      <c r="GA21" s="56"/>
      <c r="GB21" s="56"/>
      <c r="GC21" s="56"/>
      <c r="GD21" s="56"/>
      <c r="GE21" s="56"/>
      <c r="GF21" s="56"/>
      <c r="GG21" s="56"/>
      <c r="GH21" s="56"/>
      <c r="GI21" s="56"/>
      <c r="GJ21" s="56"/>
      <c r="GK21" s="56"/>
      <c r="GL21" s="56"/>
      <c r="GM21" s="56"/>
      <c r="GN21" s="56"/>
      <c r="GO21" s="56"/>
      <c r="GP21" s="56"/>
      <c r="GQ21" s="56"/>
      <c r="GR21" s="56"/>
      <c r="GS21" s="56"/>
      <c r="GT21" s="56"/>
      <c r="GU21" s="56"/>
      <c r="GV21" s="56"/>
      <c r="GW21" s="56"/>
      <c r="GX21" s="56"/>
      <c r="GY21" s="56"/>
    </row>
    <row r="22" spans="1:207" s="54" customFormat="1" ht="6" customHeight="1" x14ac:dyDescent="0.3">
      <c r="A22" s="24"/>
      <c r="B22" s="24"/>
      <c r="C22" s="24"/>
      <c r="D22" s="24"/>
      <c r="E22" s="24"/>
      <c r="F22" s="24"/>
      <c r="G22" s="24"/>
      <c r="H22" s="26"/>
      <c r="I22" s="24"/>
      <c r="J22" s="24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56"/>
      <c r="CY22" s="56"/>
      <c r="CZ22" s="56"/>
      <c r="DA22" s="56"/>
      <c r="DB22" s="56"/>
      <c r="DC22" s="56"/>
      <c r="DD22" s="56"/>
      <c r="DE22" s="56"/>
      <c r="DF22" s="56"/>
      <c r="DG22" s="56"/>
      <c r="DH22" s="56"/>
      <c r="DI22" s="56"/>
      <c r="DJ22" s="56"/>
      <c r="DK22" s="56"/>
      <c r="DL22" s="56"/>
      <c r="DM22" s="56"/>
      <c r="DN22" s="56"/>
      <c r="DO22" s="56"/>
      <c r="DP22" s="56"/>
      <c r="DQ22" s="56"/>
      <c r="DR22" s="56"/>
      <c r="DS22" s="56"/>
      <c r="DT22" s="56"/>
      <c r="DU22" s="56"/>
      <c r="DV22" s="56"/>
      <c r="DW22" s="56"/>
      <c r="DX22" s="56"/>
      <c r="DY22" s="56"/>
      <c r="DZ22" s="56"/>
      <c r="EA22" s="56"/>
      <c r="EB22" s="56"/>
      <c r="EC22" s="56"/>
      <c r="ED22" s="56"/>
      <c r="EE22" s="56"/>
      <c r="EF22" s="56"/>
      <c r="EG22" s="56"/>
      <c r="EH22" s="56"/>
      <c r="EI22" s="56"/>
      <c r="EJ22" s="56"/>
      <c r="EK22" s="56"/>
      <c r="EL22" s="56"/>
      <c r="EM22" s="56"/>
      <c r="EN22" s="56"/>
      <c r="EO22" s="56"/>
      <c r="EP22" s="56"/>
      <c r="EQ22" s="56"/>
      <c r="ER22" s="56"/>
      <c r="ES22" s="56"/>
      <c r="ET22" s="56"/>
      <c r="EU22" s="56"/>
      <c r="EV22" s="56"/>
      <c r="EW22" s="56"/>
      <c r="EX22" s="56"/>
      <c r="EY22" s="56"/>
      <c r="EZ22" s="56"/>
      <c r="FA22" s="56"/>
      <c r="FB22" s="56"/>
      <c r="FC22" s="56"/>
      <c r="FD22" s="56"/>
      <c r="FE22" s="56"/>
      <c r="FF22" s="56"/>
      <c r="FG22" s="56"/>
      <c r="FH22" s="56"/>
      <c r="FI22" s="56"/>
      <c r="FJ22" s="56"/>
      <c r="FK22" s="56"/>
      <c r="FL22" s="56"/>
      <c r="FM22" s="56"/>
      <c r="FN22" s="56"/>
      <c r="FO22" s="56"/>
      <c r="FP22" s="56"/>
      <c r="FQ22" s="56"/>
      <c r="FR22" s="56"/>
      <c r="FS22" s="56"/>
      <c r="FT22" s="56"/>
      <c r="FU22" s="56"/>
      <c r="FV22" s="56"/>
      <c r="FW22" s="56"/>
      <c r="FX22" s="56"/>
      <c r="FY22" s="56"/>
      <c r="FZ22" s="56"/>
      <c r="GA22" s="56"/>
      <c r="GB22" s="56"/>
      <c r="GC22" s="56"/>
      <c r="GD22" s="56"/>
      <c r="GE22" s="56"/>
      <c r="GF22" s="56"/>
      <c r="GG22" s="56"/>
      <c r="GH22" s="56"/>
      <c r="GI22" s="56"/>
      <c r="GJ22" s="56"/>
      <c r="GK22" s="56"/>
      <c r="GL22" s="56"/>
      <c r="GM22" s="56"/>
      <c r="GN22" s="56"/>
      <c r="GO22" s="56"/>
      <c r="GP22" s="56"/>
      <c r="GQ22" s="56"/>
      <c r="GR22" s="56"/>
      <c r="GS22" s="56"/>
      <c r="GT22" s="56"/>
      <c r="GU22" s="56"/>
      <c r="GV22" s="56"/>
      <c r="GW22" s="56"/>
      <c r="GX22" s="56"/>
      <c r="GY22" s="56"/>
    </row>
    <row r="23" spans="1:207" s="56" customFormat="1" ht="13.5" customHeight="1" x14ac:dyDescent="0.3">
      <c r="A23" s="24"/>
      <c r="B23" s="23" t="s">
        <v>206</v>
      </c>
      <c r="C23" s="19"/>
      <c r="D23" s="19"/>
      <c r="E23" s="19"/>
      <c r="F23" s="19"/>
      <c r="G23" s="19"/>
      <c r="H23" s="19"/>
      <c r="I23" s="19"/>
      <c r="J23" s="24"/>
    </row>
    <row r="24" spans="1:207" s="56" customFormat="1" ht="13.5" customHeight="1" x14ac:dyDescent="0.3">
      <c r="A24" s="24"/>
      <c r="B24" s="19" t="s">
        <v>205</v>
      </c>
      <c r="C24" s="19"/>
      <c r="D24" s="19"/>
      <c r="E24" s="19"/>
      <c r="F24" s="19">
        <v>234</v>
      </c>
      <c r="G24" s="19" t="s">
        <v>42</v>
      </c>
      <c r="H24" s="142">
        <f>F24*3.6*24</f>
        <v>20217.599999999999</v>
      </c>
      <c r="I24" s="19" t="s">
        <v>45</v>
      </c>
      <c r="J24" s="24"/>
    </row>
    <row r="25" spans="1:207" s="56" customFormat="1" ht="13.5" customHeight="1" x14ac:dyDescent="0.3">
      <c r="A25" s="24"/>
      <c r="B25" s="19" t="s">
        <v>62</v>
      </c>
      <c r="C25" s="19"/>
      <c r="D25" s="19"/>
      <c r="E25" s="19"/>
      <c r="F25" s="19">
        <v>423</v>
      </c>
      <c r="G25" s="19" t="s">
        <v>42</v>
      </c>
      <c r="H25" s="142">
        <f>F25*3.6*24</f>
        <v>36547.199999999997</v>
      </c>
      <c r="I25" s="19" t="s">
        <v>45</v>
      </c>
      <c r="J25" s="24"/>
    </row>
    <row r="26" spans="1:207" s="56" customFormat="1" ht="13.5" customHeight="1" x14ac:dyDescent="0.3">
      <c r="A26" s="24"/>
      <c r="B26" s="19" t="s">
        <v>204</v>
      </c>
      <c r="C26" s="19"/>
      <c r="D26" s="19"/>
      <c r="E26" s="19"/>
      <c r="F26" s="19"/>
      <c r="G26" s="19"/>
      <c r="H26" s="141">
        <f>H3</f>
        <v>62664</v>
      </c>
      <c r="I26" s="24" t="s">
        <v>203</v>
      </c>
      <c r="J26" s="24"/>
    </row>
    <row r="27" spans="1:207" s="56" customFormat="1" ht="13.5" customHeight="1" x14ac:dyDescent="0.3">
      <c r="A27" s="24"/>
      <c r="B27" s="21" t="s">
        <v>202</v>
      </c>
      <c r="C27" s="24"/>
      <c r="D27" s="24"/>
      <c r="E27" s="24"/>
      <c r="F27" s="20"/>
      <c r="G27" s="24"/>
      <c r="H27" s="26">
        <f>H6</f>
        <v>133.70400000000001</v>
      </c>
      <c r="I27" s="24" t="s">
        <v>144</v>
      </c>
      <c r="J27" s="24"/>
    </row>
    <row r="28" spans="1:207" s="56" customFormat="1" ht="13.5" customHeight="1" x14ac:dyDescent="0.3">
      <c r="A28" s="24"/>
      <c r="B28" s="24" t="s">
        <v>201</v>
      </c>
      <c r="C28" s="24"/>
      <c r="D28" s="24"/>
      <c r="E28" s="24"/>
      <c r="F28" s="20"/>
      <c r="G28" s="24"/>
      <c r="H28" s="26">
        <f>H8</f>
        <v>501.31200000000001</v>
      </c>
      <c r="I28" s="24" t="s">
        <v>138</v>
      </c>
      <c r="J28" s="24"/>
    </row>
    <row r="29" spans="1:207" s="56" customFormat="1" ht="9.75" customHeight="1" x14ac:dyDescent="0.3">
      <c r="A29" s="24"/>
      <c r="B29" s="24"/>
      <c r="C29" s="24"/>
      <c r="D29" s="24"/>
      <c r="E29" s="24"/>
      <c r="F29" s="20"/>
      <c r="G29" s="24"/>
      <c r="H29" s="26"/>
      <c r="I29" s="24"/>
      <c r="J29" s="24"/>
    </row>
    <row r="30" spans="1:207" s="56" customFormat="1" ht="13.5" customHeight="1" x14ac:dyDescent="0.3">
      <c r="A30" s="24"/>
      <c r="B30" s="87" t="s">
        <v>200</v>
      </c>
      <c r="C30" s="24"/>
      <c r="D30" s="24"/>
      <c r="E30" s="24"/>
      <c r="F30" s="24"/>
      <c r="G30" s="24"/>
      <c r="H30" s="24"/>
      <c r="I30" s="24"/>
      <c r="J30" s="24"/>
    </row>
    <row r="31" spans="1:207" s="56" customFormat="1" ht="13.5" customHeight="1" x14ac:dyDescent="0.3">
      <c r="A31" s="24"/>
      <c r="B31" s="27" t="s">
        <v>199</v>
      </c>
      <c r="C31" s="27"/>
      <c r="D31" s="27"/>
      <c r="E31" s="27"/>
      <c r="F31" s="27"/>
      <c r="G31" s="27"/>
      <c r="H31" s="28">
        <f>H27/H39</f>
        <v>9.9141271412586073E-3</v>
      </c>
      <c r="I31" s="27" t="s">
        <v>198</v>
      </c>
      <c r="J31" s="24"/>
    </row>
    <row r="32" spans="1:207" s="56" customFormat="1" ht="13.5" customHeight="1" x14ac:dyDescent="0.3">
      <c r="A32" s="24"/>
      <c r="B32" s="24" t="s">
        <v>197</v>
      </c>
      <c r="C32" s="24"/>
      <c r="D32" s="24"/>
      <c r="E32" s="24"/>
      <c r="F32" s="24"/>
      <c r="G32" s="24"/>
      <c r="H32" s="88">
        <v>12</v>
      </c>
      <c r="I32" s="24" t="s">
        <v>196</v>
      </c>
      <c r="J32" s="24"/>
    </row>
    <row r="33" spans="1:14" s="56" customFormat="1" ht="13.5" customHeight="1" x14ac:dyDescent="0.3">
      <c r="A33" s="24"/>
      <c r="B33" s="21" t="s">
        <v>195</v>
      </c>
      <c r="C33" s="24"/>
      <c r="D33" s="19"/>
      <c r="E33" s="24"/>
      <c r="F33" s="24"/>
      <c r="G33" s="24"/>
      <c r="H33" s="85">
        <v>8</v>
      </c>
      <c r="I33" s="19" t="s">
        <v>194</v>
      </c>
      <c r="J33" s="24"/>
      <c r="L33" s="56" t="s">
        <v>193</v>
      </c>
      <c r="M33" s="56" t="s">
        <v>184</v>
      </c>
    </row>
    <row r="34" spans="1:14" s="56" customFormat="1" ht="13.5" customHeight="1" x14ac:dyDescent="0.3">
      <c r="A34" s="24"/>
      <c r="B34" s="21" t="s">
        <v>192</v>
      </c>
      <c r="C34" s="24"/>
      <c r="D34" s="19"/>
      <c r="E34" s="24"/>
      <c r="F34" s="24"/>
      <c r="G34" s="24"/>
      <c r="H34" s="38">
        <f>+((1-0.08-0.04)*2.5*H27*0.45*H33)/(1+(0.24*1.029^(H32-20)*H33))</f>
        <v>418.96739210051334</v>
      </c>
      <c r="I34" s="19" t="s">
        <v>189</v>
      </c>
      <c r="J34" s="24"/>
      <c r="L34" s="140">
        <v>0.02</v>
      </c>
      <c r="M34" s="129">
        <f>H34*L34</f>
        <v>8.3793478420102669</v>
      </c>
    </row>
    <row r="35" spans="1:14" s="56" customFormat="1" ht="13.5" customHeight="1" x14ac:dyDescent="0.3">
      <c r="A35" s="24"/>
      <c r="B35" s="21" t="s">
        <v>191</v>
      </c>
      <c r="C35" s="24"/>
      <c r="D35" s="19"/>
      <c r="E35" s="24"/>
      <c r="F35" s="24"/>
      <c r="G35" s="24"/>
      <c r="H35" s="38">
        <f>+(0.2*(0.24*1.029^(H32-20))*H33*H34)</f>
        <v>127.99365757989742</v>
      </c>
      <c r="I35" s="19" t="s">
        <v>189</v>
      </c>
      <c r="J35" s="24"/>
      <c r="L35" s="140">
        <v>0.02</v>
      </c>
      <c r="M35" s="129">
        <f>H35*L35</f>
        <v>2.5598731515979485</v>
      </c>
    </row>
    <row r="36" spans="1:14" s="54" customFormat="1" ht="13.5" customHeight="1" x14ac:dyDescent="0.3">
      <c r="A36" s="24"/>
      <c r="B36" s="21" t="s">
        <v>190</v>
      </c>
      <c r="C36" s="24"/>
      <c r="D36" s="19"/>
      <c r="E36" s="24"/>
      <c r="F36" s="24"/>
      <c r="G36" s="24"/>
      <c r="H36" s="38">
        <f>H33*2.5*H27*0.13/1.48</f>
        <v>234.88540540540541</v>
      </c>
      <c r="I36" s="19" t="s">
        <v>189</v>
      </c>
      <c r="J36" s="24"/>
      <c r="L36" s="91">
        <v>0.01</v>
      </c>
      <c r="M36" s="129">
        <f>H36*L36</f>
        <v>2.3488540540540543</v>
      </c>
    </row>
    <row r="37" spans="1:14" s="105" customFormat="1" ht="13.5" customHeight="1" x14ac:dyDescent="0.3">
      <c r="A37" s="106"/>
      <c r="B37" s="139" t="s">
        <v>188</v>
      </c>
      <c r="C37" s="106"/>
      <c r="D37" s="137"/>
      <c r="E37" s="106"/>
      <c r="F37" s="106"/>
      <c r="G37" s="106"/>
      <c r="H37" s="138">
        <f>H49</f>
        <v>2739.2999999999997</v>
      </c>
      <c r="I37" s="137" t="s">
        <v>170</v>
      </c>
      <c r="J37" s="106"/>
      <c r="L37" s="136">
        <v>0.16</v>
      </c>
      <c r="M37" s="135">
        <f>H37*L37</f>
        <v>438.28799999999995</v>
      </c>
    </row>
    <row r="38" spans="1:14" s="105" customFormat="1" ht="13.5" customHeight="1" x14ac:dyDescent="0.3">
      <c r="A38" s="106"/>
      <c r="B38" s="134" t="s">
        <v>187</v>
      </c>
      <c r="C38" s="133"/>
      <c r="D38" s="131"/>
      <c r="E38" s="133"/>
      <c r="F38" s="133"/>
      <c r="G38" s="133"/>
      <c r="H38" s="132">
        <f>H13*H33</f>
        <v>9704.4480000000003</v>
      </c>
      <c r="I38" s="131" t="s">
        <v>170</v>
      </c>
      <c r="J38" s="106"/>
      <c r="L38" s="130"/>
      <c r="M38" s="129"/>
    </row>
    <row r="39" spans="1:14" s="54" customFormat="1" ht="13.5" customHeight="1" x14ac:dyDescent="0.3">
      <c r="A39" s="24"/>
      <c r="B39" s="21" t="s">
        <v>186</v>
      </c>
      <c r="C39" s="24"/>
      <c r="D39" s="19"/>
      <c r="E39" s="24"/>
      <c r="F39" s="24"/>
      <c r="G39" s="24"/>
      <c r="H39" s="38">
        <f>+(H34+H35+H36)/0.75+H37+H38</f>
        <v>13486.209940114422</v>
      </c>
      <c r="I39" s="19" t="s">
        <v>185</v>
      </c>
      <c r="J39" s="24"/>
      <c r="M39" s="128">
        <f>SUM(M34:M37)</f>
        <v>451.57607504766224</v>
      </c>
      <c r="N39" s="54" t="s">
        <v>184</v>
      </c>
    </row>
    <row r="40" spans="1:14" s="54" customFormat="1" ht="13.5" customHeight="1" x14ac:dyDescent="0.3">
      <c r="A40" s="24"/>
      <c r="B40" s="24" t="s">
        <v>183</v>
      </c>
      <c r="C40" s="24"/>
      <c r="D40" s="24"/>
      <c r="E40" s="24"/>
      <c r="F40" s="24"/>
      <c r="G40" s="24"/>
      <c r="H40" s="127">
        <f>(H39)*1000/H21</f>
        <v>1348.7558695984021</v>
      </c>
      <c r="I40" s="126" t="s">
        <v>28</v>
      </c>
      <c r="J40" s="24"/>
      <c r="M40" s="125">
        <f>M39/H39</f>
        <v>3.3484283357065318E-2</v>
      </c>
      <c r="N40" s="124" t="s">
        <v>182</v>
      </c>
    </row>
    <row r="41" spans="1:14" s="54" customFormat="1" ht="6.75" customHeight="1" x14ac:dyDescent="0.3">
      <c r="A41" s="24"/>
      <c r="B41" s="21"/>
      <c r="C41" s="24"/>
      <c r="D41" s="19"/>
      <c r="E41" s="24"/>
      <c r="F41" s="24"/>
      <c r="G41" s="24"/>
      <c r="H41" s="38"/>
      <c r="I41" s="19"/>
      <c r="J41" s="24"/>
    </row>
    <row r="42" spans="1:14" s="105" customFormat="1" ht="13.5" customHeight="1" x14ac:dyDescent="0.3">
      <c r="A42" s="106"/>
      <c r="B42" s="123" t="s">
        <v>181</v>
      </c>
      <c r="C42" s="121"/>
      <c r="D42" s="122"/>
      <c r="E42" s="121"/>
      <c r="F42" s="121"/>
      <c r="G42" s="121"/>
      <c r="H42" s="120">
        <v>794</v>
      </c>
      <c r="I42" s="119" t="s">
        <v>180</v>
      </c>
      <c r="J42" s="106"/>
    </row>
    <row r="43" spans="1:14" s="105" customFormat="1" ht="13.5" customHeight="1" x14ac:dyDescent="0.3">
      <c r="A43" s="106"/>
      <c r="B43" s="116" t="s">
        <v>179</v>
      </c>
      <c r="C43" s="114"/>
      <c r="D43" s="115"/>
      <c r="E43" s="114"/>
      <c r="F43" s="114"/>
      <c r="G43" s="114"/>
      <c r="H43" s="117">
        <v>1.5</v>
      </c>
      <c r="I43" s="112" t="s">
        <v>178</v>
      </c>
      <c r="J43" s="106"/>
    </row>
    <row r="44" spans="1:14" s="105" customFormat="1" ht="13.5" customHeight="1" x14ac:dyDescent="0.3">
      <c r="A44" s="106"/>
      <c r="B44" s="116" t="s">
        <v>177</v>
      </c>
      <c r="C44" s="114"/>
      <c r="D44" s="115"/>
      <c r="E44" s="114"/>
      <c r="F44" s="114"/>
      <c r="G44" s="114"/>
      <c r="H44" s="113">
        <f>H42*H43</f>
        <v>1191</v>
      </c>
      <c r="I44" s="112" t="s">
        <v>47</v>
      </c>
      <c r="J44" s="106"/>
    </row>
    <row r="45" spans="1:14" s="105" customFormat="1" ht="13.5" customHeight="1" x14ac:dyDescent="0.3">
      <c r="A45" s="106"/>
      <c r="B45" s="116" t="s">
        <v>176</v>
      </c>
      <c r="C45" s="114"/>
      <c r="D45" s="115"/>
      <c r="E45" s="114"/>
      <c r="F45" s="114"/>
      <c r="G45" s="114"/>
      <c r="H45" s="118">
        <v>0.125</v>
      </c>
      <c r="I45" s="112" t="s">
        <v>175</v>
      </c>
      <c r="J45" s="106"/>
    </row>
    <row r="46" spans="1:14" s="105" customFormat="1" ht="13.5" customHeight="1" x14ac:dyDescent="0.3">
      <c r="A46" s="106"/>
      <c r="B46" s="116" t="s">
        <v>174</v>
      </c>
      <c r="C46" s="114"/>
      <c r="D46" s="115"/>
      <c r="E46" s="114"/>
      <c r="F46" s="114"/>
      <c r="G46" s="114"/>
      <c r="H46" s="113">
        <f>H44*H45</f>
        <v>148.875</v>
      </c>
      <c r="I46" s="112" t="s">
        <v>174</v>
      </c>
      <c r="J46" s="106"/>
    </row>
    <row r="47" spans="1:14" s="105" customFormat="1" ht="13.5" customHeight="1" x14ac:dyDescent="0.3">
      <c r="A47" s="106"/>
      <c r="B47" s="116" t="s">
        <v>173</v>
      </c>
      <c r="C47" s="114"/>
      <c r="D47" s="115"/>
      <c r="E47" s="114"/>
      <c r="F47" s="114"/>
      <c r="G47" s="114"/>
      <c r="H47" s="117">
        <v>2.2999999999999998</v>
      </c>
      <c r="I47" s="112" t="s">
        <v>172</v>
      </c>
      <c r="J47" s="106"/>
    </row>
    <row r="48" spans="1:14" s="105" customFormat="1" ht="13.5" customHeight="1" x14ac:dyDescent="0.3">
      <c r="A48" s="106"/>
      <c r="B48" s="116"/>
      <c r="C48" s="114"/>
      <c r="D48" s="115"/>
      <c r="E48" s="114"/>
      <c r="F48" s="114"/>
      <c r="G48" s="114"/>
      <c r="H48" s="113">
        <f>H46*H47</f>
        <v>342.41249999999997</v>
      </c>
      <c r="I48" s="112" t="s">
        <v>160</v>
      </c>
      <c r="J48" s="106"/>
    </row>
    <row r="49" spans="1:17" s="105" customFormat="1" ht="13.5" customHeight="1" x14ac:dyDescent="0.3">
      <c r="A49" s="106"/>
      <c r="B49" s="111" t="s">
        <v>171</v>
      </c>
      <c r="C49" s="109"/>
      <c r="D49" s="110"/>
      <c r="E49" s="109"/>
      <c r="F49" s="109"/>
      <c r="G49" s="109"/>
      <c r="H49" s="108">
        <f>H48*H33</f>
        <v>2739.2999999999997</v>
      </c>
      <c r="I49" s="107" t="s">
        <v>170</v>
      </c>
      <c r="J49" s="106"/>
    </row>
    <row r="50" spans="1:17" s="54" customFormat="1" ht="13.5" customHeight="1" x14ac:dyDescent="0.3">
      <c r="A50" s="24"/>
      <c r="B50" s="21"/>
      <c r="C50" s="24"/>
      <c r="D50" s="19"/>
      <c r="E50" s="24"/>
      <c r="F50" s="24"/>
      <c r="G50" s="24"/>
      <c r="H50" s="38"/>
      <c r="I50" s="19"/>
      <c r="J50" s="24"/>
    </row>
    <row r="51" spans="1:17" s="83" customFormat="1" ht="13.5" customHeight="1" x14ac:dyDescent="0.3">
      <c r="A51" s="87"/>
      <c r="B51" s="94" t="s">
        <v>169</v>
      </c>
      <c r="C51" s="87"/>
      <c r="D51" s="23"/>
      <c r="E51" s="87"/>
      <c r="F51" s="87"/>
      <c r="G51" s="87"/>
      <c r="H51" s="93">
        <f>H39/H33</f>
        <v>1685.7762425143028</v>
      </c>
      <c r="I51" s="23" t="s">
        <v>160</v>
      </c>
      <c r="J51" s="87"/>
    </row>
    <row r="52" spans="1:17" s="54" customFormat="1" ht="13.5" customHeight="1" x14ac:dyDescent="0.3">
      <c r="A52" s="24"/>
      <c r="B52" s="21"/>
      <c r="C52" s="24"/>
      <c r="D52" s="19"/>
      <c r="E52" s="24"/>
      <c r="F52" s="24"/>
      <c r="G52" s="24"/>
      <c r="H52" s="38"/>
      <c r="I52" s="19"/>
      <c r="J52" s="24"/>
    </row>
    <row r="53" spans="1:17" s="54" customFormat="1" ht="13.5" customHeight="1" x14ac:dyDescent="0.3">
      <c r="A53" s="24"/>
      <c r="B53" s="21"/>
      <c r="C53" s="24"/>
      <c r="D53" s="19"/>
      <c r="E53" s="24"/>
      <c r="F53" s="24"/>
      <c r="G53" s="24"/>
      <c r="H53" s="38"/>
      <c r="I53" s="19"/>
      <c r="J53" s="24"/>
    </row>
    <row r="54" spans="1:17" s="54" customFormat="1" ht="13.5" customHeight="1" x14ac:dyDescent="0.3">
      <c r="A54" s="24"/>
      <c r="B54" s="94" t="s">
        <v>168</v>
      </c>
      <c r="C54" s="24"/>
      <c r="D54" s="19"/>
      <c r="E54" s="24"/>
      <c r="F54" s="24"/>
      <c r="G54" s="24"/>
      <c r="H54" s="38"/>
      <c r="I54" s="19"/>
      <c r="J54" s="24"/>
    </row>
    <row r="55" spans="1:17" s="54" customFormat="1" ht="13.5" customHeight="1" x14ac:dyDescent="0.3">
      <c r="A55" s="24"/>
      <c r="B55" s="21" t="s">
        <v>167</v>
      </c>
      <c r="C55" s="24"/>
      <c r="D55" s="19"/>
      <c r="E55" s="24"/>
      <c r="F55" s="24"/>
      <c r="G55" s="24"/>
      <c r="H55" s="104">
        <v>7.5</v>
      </c>
      <c r="I55" s="19" t="s">
        <v>49</v>
      </c>
      <c r="J55" s="24"/>
    </row>
    <row r="56" spans="1:17" s="54" customFormat="1" ht="13.5" customHeight="1" x14ac:dyDescent="0.3">
      <c r="A56" s="24"/>
      <c r="E56" s="103" t="s">
        <v>166</v>
      </c>
      <c r="F56" s="102">
        <v>100</v>
      </c>
      <c r="G56" s="101" t="s">
        <v>65</v>
      </c>
      <c r="H56" s="38"/>
      <c r="I56" s="19"/>
      <c r="J56" s="24"/>
    </row>
    <row r="57" spans="1:17" s="54" customFormat="1" ht="13.5" customHeight="1" x14ac:dyDescent="0.3">
      <c r="A57" s="24"/>
      <c r="E57" s="100" t="s">
        <v>165</v>
      </c>
      <c r="F57" s="99">
        <f>1000000/F56</f>
        <v>10000</v>
      </c>
      <c r="G57" s="98" t="s">
        <v>28</v>
      </c>
      <c r="H57" s="38"/>
      <c r="I57" s="19"/>
      <c r="J57" s="24"/>
    </row>
    <row r="58" spans="1:17" s="54" customFormat="1" ht="13.5" customHeight="1" x14ac:dyDescent="0.3">
      <c r="A58" s="24"/>
      <c r="E58" s="97"/>
      <c r="F58" s="96">
        <f>F57/1000</f>
        <v>10</v>
      </c>
      <c r="G58" s="95" t="s">
        <v>49</v>
      </c>
      <c r="H58" s="38"/>
      <c r="I58" s="19"/>
      <c r="J58" s="24"/>
    </row>
    <row r="59" spans="1:17" s="54" customFormat="1" ht="13.5" customHeight="1" x14ac:dyDescent="0.3">
      <c r="A59" s="24"/>
      <c r="B59" s="21" t="s">
        <v>164</v>
      </c>
      <c r="C59" s="24"/>
      <c r="D59" s="19"/>
      <c r="E59" s="24"/>
      <c r="F59" s="24"/>
      <c r="G59" s="24"/>
      <c r="H59" s="38">
        <v>12</v>
      </c>
      <c r="I59" s="19" t="s">
        <v>163</v>
      </c>
      <c r="J59" s="24"/>
    </row>
    <row r="60" spans="1:17" s="54" customFormat="1" ht="13.5" customHeight="1" x14ac:dyDescent="0.3">
      <c r="A60" s="24"/>
      <c r="B60" s="21" t="s">
        <v>162</v>
      </c>
      <c r="C60" s="24"/>
      <c r="D60" s="19"/>
      <c r="E60" s="24"/>
      <c r="F60" s="24"/>
      <c r="G60" s="24"/>
      <c r="H60" s="92">
        <f>750</f>
        <v>750</v>
      </c>
      <c r="I60" s="19" t="s">
        <v>45</v>
      </c>
      <c r="J60" s="24"/>
    </row>
    <row r="61" spans="1:17" s="54" customFormat="1" ht="13.5" customHeight="1" x14ac:dyDescent="0.3">
      <c r="A61" s="24"/>
      <c r="B61" s="94" t="s">
        <v>161</v>
      </c>
      <c r="C61" s="87"/>
      <c r="D61" s="23"/>
      <c r="E61" s="87"/>
      <c r="F61" s="87"/>
      <c r="G61" s="87"/>
      <c r="H61" s="93">
        <f>H55*H60</f>
        <v>5625</v>
      </c>
      <c r="I61" s="23" t="s">
        <v>160</v>
      </c>
      <c r="J61" s="87"/>
    </row>
    <row r="62" spans="1:17" s="54" customFormat="1" ht="13.5" customHeight="1" x14ac:dyDescent="0.3">
      <c r="A62" s="24"/>
      <c r="B62" s="21"/>
      <c r="C62" s="24"/>
      <c r="D62" s="19"/>
      <c r="E62" s="24"/>
      <c r="F62" s="24"/>
      <c r="G62" s="24"/>
      <c r="H62" s="38"/>
      <c r="I62" s="19"/>
      <c r="J62" s="24"/>
    </row>
    <row r="63" spans="1:17" s="54" customFormat="1" ht="13.5" customHeight="1" x14ac:dyDescent="0.3">
      <c r="A63" s="24"/>
      <c r="B63" s="21" t="s">
        <v>159</v>
      </c>
      <c r="C63" s="24"/>
      <c r="D63" s="19"/>
      <c r="E63" s="24"/>
      <c r="F63" s="24"/>
      <c r="G63" s="24"/>
      <c r="H63" s="38">
        <f>H61*3%</f>
        <v>168.75</v>
      </c>
      <c r="I63" s="19" t="s">
        <v>157</v>
      </c>
      <c r="J63" s="24"/>
    </row>
    <row r="64" spans="1:17" s="54" customFormat="1" ht="13.5" customHeight="1" x14ac:dyDescent="0.3">
      <c r="A64" s="24"/>
      <c r="B64" s="21" t="s">
        <v>158</v>
      </c>
      <c r="C64" s="24"/>
      <c r="D64" s="19"/>
      <c r="E64" s="24"/>
      <c r="F64" s="24"/>
      <c r="G64" s="24"/>
      <c r="H64" s="38">
        <f>H3*2.2/1000</f>
        <v>137.86080000000001</v>
      </c>
      <c r="I64" s="19" t="s">
        <v>157</v>
      </c>
      <c r="J64" s="24"/>
      <c r="L64" s="54" t="s">
        <v>156</v>
      </c>
      <c r="P64" s="91">
        <v>0.33</v>
      </c>
      <c r="Q64" s="54" t="s">
        <v>155</v>
      </c>
    </row>
    <row r="65" spans="1:17" s="54" customFormat="1" ht="13.5" customHeight="1" x14ac:dyDescent="0.3">
      <c r="A65" s="24"/>
      <c r="B65" s="21" t="s">
        <v>154</v>
      </c>
      <c r="C65" s="24"/>
      <c r="D65" s="19"/>
      <c r="E65" s="24"/>
      <c r="F65" s="24"/>
      <c r="G65" s="24"/>
      <c r="H65" s="92">
        <v>1</v>
      </c>
      <c r="I65" s="19" t="s">
        <v>28</v>
      </c>
      <c r="J65" s="24"/>
      <c r="P65" s="91">
        <v>0.33</v>
      </c>
      <c r="Q65" s="54" t="s">
        <v>153</v>
      </c>
    </row>
    <row r="66" spans="1:17" s="54" customFormat="1" ht="13.5" customHeight="1" x14ac:dyDescent="0.3">
      <c r="A66" s="24"/>
      <c r="B66" s="21" t="s">
        <v>152</v>
      </c>
      <c r="C66" s="24"/>
      <c r="D66" s="19"/>
      <c r="E66" s="24"/>
      <c r="F66" s="24"/>
      <c r="G66" s="24"/>
      <c r="H66" s="38">
        <f>H60*H65/1000</f>
        <v>0.75</v>
      </c>
      <c r="I66" s="19" t="s">
        <v>47</v>
      </c>
      <c r="J66" s="24"/>
      <c r="P66" s="91">
        <v>0.33</v>
      </c>
      <c r="Q66" s="54" t="s">
        <v>151</v>
      </c>
    </row>
    <row r="67" spans="1:17" s="54" customFormat="1" ht="13.5" customHeight="1" x14ac:dyDescent="0.3">
      <c r="A67" s="24"/>
      <c r="B67" s="21"/>
      <c r="C67" s="24"/>
      <c r="D67" s="19"/>
      <c r="E67" s="24"/>
      <c r="F67" s="24"/>
      <c r="G67" s="24"/>
      <c r="H67" s="38"/>
      <c r="I67" s="19"/>
      <c r="J67" s="24"/>
      <c r="L67" s="54" t="s">
        <v>150</v>
      </c>
      <c r="P67" s="54" t="s">
        <v>149</v>
      </c>
      <c r="Q67" s="54" t="s">
        <v>148</v>
      </c>
    </row>
    <row r="68" spans="1:17" s="54" customFormat="1" ht="13.5" customHeight="1" x14ac:dyDescent="0.3">
      <c r="A68" s="24"/>
      <c r="B68" s="21"/>
      <c r="C68" s="24"/>
      <c r="D68" s="19"/>
      <c r="E68" s="24"/>
      <c r="F68" s="24"/>
      <c r="G68" s="24"/>
      <c r="H68" s="22"/>
      <c r="I68" s="19"/>
      <c r="J68" s="24"/>
    </row>
    <row r="69" spans="1:17" s="54" customFormat="1" ht="13.5" customHeight="1" x14ac:dyDescent="0.3">
      <c r="A69" s="24"/>
      <c r="B69" s="21"/>
      <c r="C69" s="24"/>
      <c r="D69" s="19"/>
      <c r="E69" s="24"/>
      <c r="F69" s="24"/>
      <c r="G69" s="24"/>
      <c r="H69" s="38"/>
      <c r="I69" s="19"/>
      <c r="J69" s="24"/>
    </row>
    <row r="70" spans="1:17" s="54" customFormat="1" ht="13.5" customHeight="1" x14ac:dyDescent="0.3">
      <c r="A70" s="24"/>
      <c r="B70" s="21"/>
      <c r="C70" s="24"/>
      <c r="D70" s="19"/>
      <c r="E70" s="24"/>
      <c r="F70" s="24"/>
      <c r="G70" s="24"/>
      <c r="H70" s="38"/>
      <c r="I70" s="19"/>
      <c r="J70" s="24"/>
    </row>
    <row r="71" spans="1:17" s="54" customFormat="1" ht="13.5" customHeight="1" x14ac:dyDescent="0.3">
      <c r="A71" s="24"/>
      <c r="B71" s="21"/>
      <c r="C71" s="24"/>
      <c r="D71" s="19"/>
      <c r="E71" s="24"/>
      <c r="F71" s="24"/>
      <c r="G71" s="24"/>
      <c r="H71" s="38"/>
      <c r="I71" s="19"/>
      <c r="J71" s="24"/>
    </row>
    <row r="72" spans="1:17" s="54" customFormat="1" ht="13.5" customHeight="1" x14ac:dyDescent="0.3">
      <c r="A72" s="24"/>
      <c r="B72" s="21"/>
      <c r="C72" s="24"/>
      <c r="D72" s="19"/>
      <c r="E72" s="24"/>
      <c r="F72" s="24"/>
      <c r="G72" s="24"/>
      <c r="H72" s="38"/>
      <c r="I72" s="19"/>
      <c r="J72" s="24"/>
    </row>
    <row r="73" spans="1:17" s="54" customFormat="1" ht="13.5" customHeight="1" x14ac:dyDescent="0.3">
      <c r="A73" s="24"/>
      <c r="B73" s="21"/>
      <c r="C73" s="24"/>
      <c r="D73" s="19"/>
      <c r="E73" s="24"/>
      <c r="F73" s="24"/>
      <c r="G73" s="24"/>
      <c r="H73" s="38"/>
      <c r="I73" s="19"/>
      <c r="J73" s="24"/>
    </row>
    <row r="74" spans="1:17" s="54" customFormat="1" ht="13.5" customHeight="1" x14ac:dyDescent="0.3">
      <c r="A74" s="24"/>
      <c r="B74" s="21"/>
      <c r="C74" s="24"/>
      <c r="D74" s="19"/>
      <c r="E74" s="24"/>
      <c r="F74" s="24"/>
      <c r="G74" s="24"/>
      <c r="H74" s="38"/>
      <c r="I74" s="19"/>
      <c r="J74" s="24"/>
    </row>
    <row r="75" spans="1:17" s="54" customFormat="1" ht="13.5" customHeight="1" x14ac:dyDescent="0.3">
      <c r="A75" s="24"/>
      <c r="B75" s="21"/>
      <c r="C75" s="24"/>
      <c r="D75" s="19"/>
      <c r="E75" s="24"/>
      <c r="F75" s="24"/>
      <c r="G75" s="24"/>
      <c r="H75" s="38"/>
      <c r="I75" s="19"/>
      <c r="J75" s="24"/>
    </row>
    <row r="76" spans="1:17" s="54" customFormat="1" ht="13.5" customHeight="1" x14ac:dyDescent="0.3">
      <c r="A76" s="24"/>
      <c r="B76" s="21"/>
      <c r="C76" s="24"/>
      <c r="D76" s="19"/>
      <c r="E76" s="24"/>
      <c r="F76" s="24"/>
      <c r="G76" s="24"/>
      <c r="H76" s="38"/>
      <c r="I76" s="19"/>
      <c r="J76" s="24"/>
    </row>
    <row r="77" spans="1:17" s="54" customFormat="1" ht="13.5" customHeight="1" x14ac:dyDescent="0.3">
      <c r="A77" s="24"/>
      <c r="B77" s="21"/>
      <c r="C77" s="24"/>
      <c r="D77" s="19"/>
      <c r="E77" s="24"/>
      <c r="F77" s="24"/>
      <c r="G77" s="24"/>
      <c r="H77" s="38"/>
      <c r="I77" s="19"/>
      <c r="J77" s="24"/>
    </row>
    <row r="78" spans="1:17" s="54" customFormat="1" ht="13.5" customHeight="1" x14ac:dyDescent="0.3">
      <c r="A78" s="24"/>
      <c r="B78" s="21"/>
      <c r="C78" s="24"/>
      <c r="D78" s="19"/>
      <c r="E78" s="24"/>
      <c r="F78" s="24"/>
      <c r="G78" s="24"/>
      <c r="H78" s="38"/>
      <c r="I78" s="19"/>
      <c r="J78" s="24"/>
    </row>
    <row r="79" spans="1:17" s="54" customFormat="1" ht="13.5" customHeight="1" x14ac:dyDescent="0.3">
      <c r="A79" s="24"/>
      <c r="B79" s="21"/>
      <c r="C79" s="24"/>
      <c r="D79" s="19"/>
      <c r="E79" s="24"/>
      <c r="F79" s="24"/>
      <c r="G79" s="24"/>
      <c r="H79" s="38"/>
      <c r="I79" s="19"/>
      <c r="J79" s="24"/>
    </row>
    <row r="80" spans="1:17" s="54" customFormat="1" ht="13.5" customHeight="1" x14ac:dyDescent="0.3">
      <c r="A80" s="24"/>
      <c r="B80" s="21"/>
      <c r="C80" s="24"/>
      <c r="D80" s="19"/>
      <c r="E80" s="24"/>
      <c r="F80" s="24"/>
      <c r="G80" s="24"/>
      <c r="H80" s="38"/>
      <c r="I80" s="19"/>
      <c r="J80" s="24"/>
    </row>
    <row r="81" spans="1:207" s="54" customFormat="1" ht="13.5" customHeight="1" x14ac:dyDescent="0.3">
      <c r="A81" s="24"/>
      <c r="B81" s="21"/>
      <c r="C81" s="24"/>
      <c r="D81" s="19"/>
      <c r="E81" s="24"/>
      <c r="F81" s="24"/>
      <c r="G81" s="24"/>
      <c r="H81" s="38"/>
      <c r="I81" s="19"/>
      <c r="J81" s="24"/>
    </row>
    <row r="82" spans="1:207" s="54" customFormat="1" ht="13.5" customHeight="1" x14ac:dyDescent="0.3">
      <c r="A82" s="24"/>
      <c r="B82" s="21"/>
      <c r="C82" s="24"/>
      <c r="D82" s="19"/>
      <c r="E82" s="24"/>
      <c r="F82" s="24"/>
      <c r="G82" s="24"/>
      <c r="H82" s="38"/>
      <c r="I82" s="19"/>
      <c r="J82" s="24"/>
    </row>
    <row r="83" spans="1:207" s="54" customFormat="1" ht="13.5" customHeight="1" x14ac:dyDescent="0.3">
      <c r="A83" s="24"/>
      <c r="B83" s="87" t="s">
        <v>147</v>
      </c>
      <c r="C83" s="24"/>
      <c r="D83" s="24"/>
      <c r="E83" s="24"/>
      <c r="F83" s="24"/>
      <c r="G83" s="24"/>
      <c r="H83" s="24"/>
      <c r="I83" s="24"/>
      <c r="J83" s="24"/>
    </row>
    <row r="84" spans="1:207" s="54" customFormat="1" ht="13.5" customHeight="1" x14ac:dyDescent="0.3">
      <c r="A84" s="24"/>
      <c r="B84" s="87" t="s">
        <v>146</v>
      </c>
      <c r="C84" s="24"/>
      <c r="D84" s="24"/>
      <c r="E84" s="24"/>
      <c r="F84" s="90"/>
      <c r="G84" s="24"/>
      <c r="H84" s="20"/>
      <c r="I84" s="24"/>
      <c r="J84" s="24"/>
    </row>
    <row r="85" spans="1:207" s="54" customFormat="1" ht="13.5" customHeight="1" x14ac:dyDescent="0.3">
      <c r="A85" s="24"/>
      <c r="B85" s="24" t="s">
        <v>145</v>
      </c>
      <c r="C85" s="24"/>
      <c r="D85" s="24"/>
      <c r="E85" s="24"/>
      <c r="F85" s="89"/>
      <c r="G85" s="24"/>
      <c r="H85" s="26">
        <f>H27*0.95</f>
        <v>127.0188</v>
      </c>
      <c r="I85" s="32" t="s">
        <v>144</v>
      </c>
      <c r="J85" s="24"/>
    </row>
    <row r="86" spans="1:207" s="54" customFormat="1" ht="13.5" customHeight="1" x14ac:dyDescent="0.3">
      <c r="A86" s="24"/>
      <c r="B86" s="24" t="s">
        <v>143</v>
      </c>
      <c r="C86" s="24"/>
      <c r="D86" s="24"/>
      <c r="E86" s="24"/>
      <c r="F86" s="24"/>
      <c r="G86" s="24"/>
      <c r="H86" s="88">
        <v>1.2</v>
      </c>
      <c r="I86" s="24" t="s">
        <v>142</v>
      </c>
      <c r="J86" s="24"/>
    </row>
    <row r="87" spans="1:207" s="54" customFormat="1" ht="13.5" customHeight="1" x14ac:dyDescent="0.3">
      <c r="A87" s="24"/>
      <c r="B87" s="24" t="s">
        <v>141</v>
      </c>
      <c r="C87" s="24"/>
      <c r="D87" s="24"/>
      <c r="E87" s="24"/>
      <c r="F87" s="89"/>
      <c r="G87" s="24"/>
      <c r="H87" s="31">
        <f>H85*H86/24</f>
        <v>6.3509400000000005</v>
      </c>
      <c r="I87" s="24" t="s">
        <v>119</v>
      </c>
      <c r="J87" s="24"/>
    </row>
    <row r="88" spans="1:207" s="54" customFormat="1" ht="13.5" customHeight="1" x14ac:dyDescent="0.3">
      <c r="A88" s="24"/>
      <c r="B88" s="24" t="s">
        <v>136</v>
      </c>
      <c r="C88" s="24"/>
      <c r="D88" s="24"/>
      <c r="E88" s="24"/>
      <c r="F88" s="24"/>
      <c r="G88" s="24"/>
      <c r="H88" s="88">
        <v>1.5</v>
      </c>
      <c r="I88" s="24"/>
      <c r="J88" s="24"/>
    </row>
    <row r="89" spans="1:207" s="54" customFormat="1" ht="13.5" customHeight="1" x14ac:dyDescent="0.3">
      <c r="A89" s="24"/>
      <c r="B89" s="24" t="s">
        <v>135</v>
      </c>
      <c r="C89" s="24"/>
      <c r="D89" s="24"/>
      <c r="E89" s="24"/>
      <c r="F89" s="24"/>
      <c r="G89" s="24"/>
      <c r="H89" s="31">
        <f>H87*H88</f>
        <v>9.5264100000000003</v>
      </c>
      <c r="I89" s="24" t="s">
        <v>119</v>
      </c>
      <c r="J89" s="24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I89" s="56"/>
      <c r="BJ89" s="56"/>
      <c r="BK89" s="56"/>
      <c r="BL89" s="56"/>
      <c r="BM89" s="56"/>
      <c r="BN89" s="56"/>
      <c r="BO89" s="56"/>
      <c r="BP89" s="56"/>
      <c r="BQ89" s="56"/>
      <c r="BR89" s="56"/>
      <c r="BS89" s="56"/>
      <c r="BT89" s="56"/>
      <c r="BU89" s="56"/>
      <c r="BV89" s="56"/>
      <c r="BW89" s="56"/>
      <c r="BX89" s="56"/>
      <c r="BY89" s="56"/>
      <c r="BZ89" s="56"/>
      <c r="CA89" s="56"/>
      <c r="CB89" s="56"/>
      <c r="CC89" s="56"/>
      <c r="CD89" s="56"/>
      <c r="CE89" s="56"/>
      <c r="CF89" s="56"/>
      <c r="CG89" s="56"/>
      <c r="CH89" s="56"/>
      <c r="CI89" s="56"/>
      <c r="CJ89" s="56"/>
      <c r="CK89" s="56"/>
      <c r="CL89" s="56"/>
      <c r="CM89" s="56"/>
      <c r="CN89" s="56"/>
      <c r="CO89" s="56"/>
      <c r="CP89" s="56"/>
      <c r="CQ89" s="56"/>
      <c r="CR89" s="56"/>
      <c r="CS89" s="56"/>
      <c r="CT89" s="56"/>
      <c r="CU89" s="56"/>
      <c r="CV89" s="56"/>
      <c r="CW89" s="56"/>
      <c r="CX89" s="56"/>
      <c r="CY89" s="56"/>
      <c r="CZ89" s="56"/>
      <c r="DA89" s="56"/>
      <c r="DB89" s="56"/>
      <c r="DC89" s="56"/>
      <c r="DD89" s="56"/>
      <c r="DE89" s="56"/>
      <c r="DF89" s="56"/>
      <c r="DG89" s="56"/>
      <c r="DH89" s="56"/>
      <c r="DI89" s="56"/>
      <c r="DJ89" s="56"/>
      <c r="DK89" s="56"/>
      <c r="DL89" s="56"/>
      <c r="DM89" s="56"/>
      <c r="DN89" s="56"/>
      <c r="DO89" s="56"/>
      <c r="DP89" s="56"/>
      <c r="DQ89" s="56"/>
      <c r="DR89" s="56"/>
      <c r="DS89" s="56"/>
      <c r="DT89" s="56"/>
      <c r="DU89" s="56"/>
      <c r="DV89" s="56"/>
      <c r="DW89" s="56"/>
      <c r="DX89" s="56"/>
      <c r="DY89" s="56"/>
      <c r="DZ89" s="56"/>
      <c r="EA89" s="56"/>
      <c r="EB89" s="56"/>
      <c r="EC89" s="56"/>
      <c r="ED89" s="56"/>
      <c r="EE89" s="56"/>
      <c r="EF89" s="56"/>
      <c r="EG89" s="56"/>
      <c r="EH89" s="56"/>
      <c r="EI89" s="56"/>
      <c r="EJ89" s="56"/>
      <c r="EK89" s="56"/>
      <c r="EL89" s="56"/>
      <c r="EM89" s="56"/>
      <c r="EN89" s="56"/>
      <c r="EO89" s="56"/>
      <c r="EP89" s="56"/>
      <c r="EQ89" s="56"/>
      <c r="ER89" s="56"/>
      <c r="ES89" s="56"/>
      <c r="ET89" s="56"/>
      <c r="EU89" s="56"/>
      <c r="EV89" s="56"/>
      <c r="EW89" s="56"/>
      <c r="EX89" s="56"/>
      <c r="EY89" s="56"/>
      <c r="EZ89" s="56"/>
      <c r="FA89" s="56"/>
      <c r="FB89" s="56"/>
      <c r="FC89" s="56"/>
      <c r="FD89" s="56"/>
      <c r="FE89" s="56"/>
      <c r="FF89" s="56"/>
      <c r="FG89" s="56"/>
      <c r="FH89" s="56"/>
      <c r="FI89" s="56"/>
      <c r="FJ89" s="56"/>
      <c r="FK89" s="56"/>
      <c r="FL89" s="56"/>
      <c r="FM89" s="56"/>
      <c r="FN89" s="56"/>
      <c r="FO89" s="56"/>
      <c r="FP89" s="56"/>
      <c r="FQ89" s="56"/>
      <c r="FR89" s="56"/>
      <c r="FS89" s="56"/>
      <c r="FT89" s="56"/>
      <c r="FU89" s="56"/>
      <c r="FV89" s="56"/>
      <c r="FW89" s="56"/>
      <c r="FX89" s="56"/>
      <c r="FY89" s="56"/>
      <c r="FZ89" s="56"/>
      <c r="GA89" s="56"/>
      <c r="GB89" s="56"/>
      <c r="GC89" s="56"/>
      <c r="GD89" s="56"/>
      <c r="GE89" s="56"/>
      <c r="GF89" s="56"/>
      <c r="GG89" s="56"/>
      <c r="GH89" s="56"/>
      <c r="GI89" s="56"/>
      <c r="GJ89" s="56"/>
      <c r="GK89" s="56"/>
      <c r="GL89" s="56"/>
      <c r="GM89" s="56"/>
      <c r="GN89" s="56"/>
      <c r="GO89" s="56"/>
      <c r="GP89" s="56"/>
      <c r="GQ89" s="56"/>
      <c r="GR89" s="56"/>
      <c r="GS89" s="56"/>
      <c r="GT89" s="56"/>
      <c r="GU89" s="56"/>
      <c r="GV89" s="56"/>
      <c r="GW89" s="56"/>
      <c r="GX89" s="56"/>
      <c r="GY89" s="56"/>
    </row>
    <row r="90" spans="1:207" s="54" customFormat="1" ht="13.5" customHeight="1" x14ac:dyDescent="0.3">
      <c r="A90" s="24"/>
      <c r="B90" s="87" t="s">
        <v>140</v>
      </c>
      <c r="C90" s="24"/>
      <c r="D90" s="24"/>
      <c r="E90" s="24"/>
      <c r="F90" s="24"/>
      <c r="G90" s="24"/>
      <c r="H90" s="26"/>
      <c r="I90" s="24"/>
      <c r="J90" s="24"/>
    </row>
    <row r="91" spans="1:207" s="54" customFormat="1" ht="13.5" customHeight="1" x14ac:dyDescent="0.3">
      <c r="A91" s="24"/>
      <c r="B91" s="24" t="s">
        <v>139</v>
      </c>
      <c r="C91" s="24"/>
      <c r="D91" s="24"/>
      <c r="E91" s="24"/>
      <c r="F91" s="24"/>
      <c r="G91" s="24"/>
      <c r="H91" s="26">
        <f>H28</f>
        <v>501.31200000000001</v>
      </c>
      <c r="I91" s="24" t="s">
        <v>138</v>
      </c>
      <c r="J91" s="24"/>
    </row>
    <row r="92" spans="1:207" s="54" customFormat="1" ht="13.5" customHeight="1" x14ac:dyDescent="0.3">
      <c r="A92" s="24"/>
      <c r="B92" s="24" t="s">
        <v>137</v>
      </c>
      <c r="C92" s="24"/>
      <c r="D92" s="24"/>
      <c r="E92" s="24"/>
      <c r="F92" s="24"/>
      <c r="G92" s="24"/>
      <c r="H92" s="81">
        <f>H91*4.33/24*0</f>
        <v>0</v>
      </c>
      <c r="I92" s="24" t="s">
        <v>119</v>
      </c>
      <c r="J92" s="24"/>
    </row>
    <row r="93" spans="1:207" s="54" customFormat="1" ht="13.5" customHeight="1" x14ac:dyDescent="0.3">
      <c r="A93" s="24"/>
      <c r="B93" s="24" t="s">
        <v>136</v>
      </c>
      <c r="C93" s="24"/>
      <c r="D93" s="24"/>
      <c r="E93" s="24"/>
      <c r="F93" s="24"/>
      <c r="G93" s="24"/>
      <c r="H93" s="85">
        <v>2</v>
      </c>
      <c r="I93" s="24"/>
      <c r="J93" s="24"/>
    </row>
    <row r="94" spans="1:207" s="54" customFormat="1" ht="13.5" customHeight="1" x14ac:dyDescent="0.3">
      <c r="A94" s="24"/>
      <c r="B94" s="24" t="s">
        <v>135</v>
      </c>
      <c r="C94" s="24"/>
      <c r="D94" s="24"/>
      <c r="E94" s="24"/>
      <c r="F94" s="24"/>
      <c r="G94" s="24"/>
      <c r="H94" s="26">
        <f>H92*H93</f>
        <v>0</v>
      </c>
      <c r="I94" s="24" t="s">
        <v>119</v>
      </c>
      <c r="J94" s="24"/>
    </row>
    <row r="95" spans="1:207" s="54" customFormat="1" ht="13.5" customHeight="1" x14ac:dyDescent="0.3">
      <c r="A95" s="24"/>
      <c r="B95" s="87" t="s">
        <v>134</v>
      </c>
      <c r="C95" s="24"/>
      <c r="D95" s="24"/>
      <c r="E95" s="24"/>
      <c r="F95" s="24"/>
      <c r="G95" s="24"/>
      <c r="H95" s="26"/>
      <c r="I95" s="24"/>
      <c r="J95" s="24"/>
    </row>
    <row r="96" spans="1:207" s="54" customFormat="1" ht="13.5" customHeight="1" x14ac:dyDescent="0.3">
      <c r="A96" s="24"/>
      <c r="B96" s="24" t="s">
        <v>133</v>
      </c>
      <c r="C96" s="24"/>
      <c r="D96" s="24"/>
      <c r="E96" s="24"/>
      <c r="F96" s="24"/>
      <c r="G96" s="24"/>
      <c r="H96" s="31">
        <f>H87+H92</f>
        <v>6.3509400000000005</v>
      </c>
      <c r="I96" s="24" t="s">
        <v>132</v>
      </c>
      <c r="J96" s="24"/>
    </row>
    <row r="97" spans="1:10" s="54" customFormat="1" ht="13.5" customHeight="1" x14ac:dyDescent="0.3">
      <c r="A97" s="24"/>
      <c r="B97" s="24" t="s">
        <v>131</v>
      </c>
      <c r="C97" s="24"/>
      <c r="D97" s="24"/>
      <c r="E97" s="24"/>
      <c r="F97" s="24"/>
      <c r="G97" s="24"/>
      <c r="H97" s="31">
        <f>H89+H94</f>
        <v>9.5264100000000003</v>
      </c>
      <c r="I97" s="24" t="s">
        <v>119</v>
      </c>
      <c r="J97" s="24"/>
    </row>
    <row r="98" spans="1:10" s="54" customFormat="1" ht="13.5" customHeight="1" x14ac:dyDescent="0.3">
      <c r="A98" s="24"/>
      <c r="B98" s="87" t="s">
        <v>130</v>
      </c>
      <c r="C98" s="24"/>
      <c r="D98" s="24"/>
      <c r="E98" s="24"/>
      <c r="F98" s="24"/>
      <c r="G98" s="24"/>
      <c r="H98" s="26"/>
      <c r="I98" s="24"/>
      <c r="J98" s="24"/>
    </row>
    <row r="99" spans="1:10" s="54" customFormat="1" ht="13.5" customHeight="1" x14ac:dyDescent="0.3">
      <c r="A99" s="24"/>
      <c r="B99" s="24" t="s">
        <v>129</v>
      </c>
      <c r="C99" s="24"/>
      <c r="D99" s="24"/>
      <c r="E99" s="24"/>
      <c r="F99" s="24"/>
      <c r="G99" s="24"/>
      <c r="H99" s="42">
        <v>0</v>
      </c>
      <c r="I99" s="24" t="s">
        <v>55</v>
      </c>
      <c r="J99" s="24"/>
    </row>
    <row r="100" spans="1:10" s="54" customFormat="1" ht="13.5" customHeight="1" x14ac:dyDescent="0.3">
      <c r="A100" s="24"/>
      <c r="B100" s="24" t="s">
        <v>128</v>
      </c>
      <c r="C100" s="24"/>
      <c r="D100" s="24"/>
      <c r="E100" s="24"/>
      <c r="F100" s="24"/>
      <c r="G100" s="24"/>
      <c r="H100" s="31">
        <f>H96*(100-H99)/100</f>
        <v>6.3509400000000005</v>
      </c>
      <c r="I100" s="24" t="s">
        <v>119</v>
      </c>
      <c r="J100" s="24"/>
    </row>
    <row r="101" spans="1:10" s="54" customFormat="1" ht="13.5" customHeight="1" x14ac:dyDescent="0.3">
      <c r="A101" s="24"/>
      <c r="B101" s="24" t="s">
        <v>127</v>
      </c>
      <c r="C101" s="24"/>
      <c r="D101" s="24"/>
      <c r="E101" s="24"/>
      <c r="F101" s="24"/>
      <c r="G101" s="24"/>
      <c r="H101" s="31">
        <f>H97*(100-H99)/100</f>
        <v>9.5264100000000003</v>
      </c>
      <c r="I101" s="24" t="s">
        <v>119</v>
      </c>
      <c r="J101" s="24"/>
    </row>
    <row r="102" spans="1:10" s="54" customFormat="1" ht="13.5" customHeight="1" x14ac:dyDescent="0.3">
      <c r="A102" s="24"/>
      <c r="B102" s="24"/>
      <c r="C102" s="24"/>
      <c r="D102" s="24"/>
      <c r="E102" s="24"/>
      <c r="F102" s="24"/>
      <c r="G102" s="24"/>
      <c r="H102" s="24"/>
      <c r="I102" s="24"/>
      <c r="J102" s="24"/>
    </row>
    <row r="103" spans="1:10" s="54" customFormat="1" ht="13.5" customHeight="1" x14ac:dyDescent="0.3">
      <c r="A103" s="19"/>
      <c r="B103" s="87" t="s">
        <v>126</v>
      </c>
      <c r="C103" s="21"/>
      <c r="D103" s="24"/>
      <c r="E103" s="24"/>
      <c r="F103" s="24"/>
      <c r="G103" s="24"/>
      <c r="H103" s="24"/>
      <c r="I103" s="24"/>
      <c r="J103" s="19"/>
    </row>
    <row r="104" spans="1:10" s="54" customFormat="1" ht="13.5" customHeight="1" x14ac:dyDescent="0.3">
      <c r="A104" s="19"/>
      <c r="B104" s="24" t="s">
        <v>125</v>
      </c>
      <c r="C104" s="21"/>
      <c r="D104" s="24"/>
      <c r="E104" s="24"/>
      <c r="F104" s="24"/>
      <c r="G104" s="24"/>
      <c r="H104" s="85">
        <v>0.6</v>
      </c>
      <c r="I104" s="24"/>
      <c r="J104" s="19"/>
    </row>
    <row r="105" spans="1:10" s="54" customFormat="1" ht="13.5" customHeight="1" x14ac:dyDescent="0.3">
      <c r="A105" s="19"/>
      <c r="B105" s="24" t="s">
        <v>124</v>
      </c>
      <c r="C105" s="21"/>
      <c r="D105" s="24"/>
      <c r="E105" s="24"/>
      <c r="F105" s="24"/>
      <c r="G105" s="24"/>
      <c r="H105" s="86">
        <v>0.95</v>
      </c>
      <c r="I105" s="24"/>
      <c r="J105" s="19"/>
    </row>
    <row r="106" spans="1:10" s="54" customFormat="1" ht="13.5" customHeight="1" x14ac:dyDescent="0.3">
      <c r="A106" s="19"/>
      <c r="B106" s="24" t="s">
        <v>123</v>
      </c>
      <c r="C106" s="21"/>
      <c r="D106" s="24"/>
      <c r="E106" s="24"/>
      <c r="F106" s="24"/>
      <c r="G106" s="24"/>
      <c r="H106" s="85">
        <v>1</v>
      </c>
      <c r="I106" s="24" t="s">
        <v>28</v>
      </c>
      <c r="J106" s="19"/>
    </row>
    <row r="107" spans="1:10" s="54" customFormat="1" ht="13.5" customHeight="1" x14ac:dyDescent="0.3">
      <c r="A107" s="19"/>
      <c r="B107" s="24" t="s">
        <v>122</v>
      </c>
      <c r="C107" s="21"/>
      <c r="D107" s="24"/>
      <c r="E107" s="24"/>
      <c r="F107" s="24"/>
      <c r="G107" s="24"/>
      <c r="H107" s="84">
        <f>1/(9/(H104*(H105*(9-H106))))</f>
        <v>0.5066666666666666</v>
      </c>
      <c r="I107" s="24"/>
      <c r="J107" s="19"/>
    </row>
    <row r="108" spans="1:10" s="54" customFormat="1" ht="13.5" customHeight="1" x14ac:dyDescent="0.3">
      <c r="A108" s="19"/>
      <c r="B108" s="24" t="s">
        <v>121</v>
      </c>
      <c r="C108" s="21"/>
      <c r="D108" s="24"/>
      <c r="E108" s="24"/>
      <c r="F108" s="24"/>
      <c r="G108" s="24"/>
      <c r="H108" s="26">
        <f>H100/H107</f>
        <v>12.534750000000003</v>
      </c>
      <c r="I108" s="24" t="s">
        <v>119</v>
      </c>
      <c r="J108" s="19"/>
    </row>
    <row r="109" spans="1:10" s="54" customFormat="1" ht="13.5" customHeight="1" x14ac:dyDescent="0.3">
      <c r="A109" s="24"/>
      <c r="B109" s="24" t="s">
        <v>120</v>
      </c>
      <c r="C109" s="24"/>
      <c r="D109" s="24"/>
      <c r="E109" s="24"/>
      <c r="F109" s="24"/>
      <c r="G109" s="24"/>
      <c r="H109" s="26">
        <f>H101/H107</f>
        <v>18.802125000000004</v>
      </c>
      <c r="I109" s="24" t="s">
        <v>119</v>
      </c>
      <c r="J109" s="24"/>
    </row>
    <row r="110" spans="1:10" s="54" customFormat="1" ht="13.5" customHeight="1" x14ac:dyDescent="0.3">
      <c r="A110" s="24"/>
      <c r="B110" s="24"/>
      <c r="C110" s="24"/>
      <c r="D110" s="24"/>
      <c r="E110" s="24"/>
      <c r="F110" s="24"/>
      <c r="G110" s="26"/>
      <c r="H110" s="24"/>
      <c r="I110" s="24"/>
      <c r="J110" s="83"/>
    </row>
    <row r="111" spans="1:10" s="54" customFormat="1" ht="13.5" customHeight="1" x14ac:dyDescent="0.3">
      <c r="B111" s="58" t="s">
        <v>118</v>
      </c>
      <c r="D111" s="58"/>
      <c r="E111" s="58"/>
      <c r="F111" s="58"/>
      <c r="G111" s="58"/>
      <c r="H111" s="82">
        <v>6.5199999999999994E-2</v>
      </c>
      <c r="I111" s="58" t="s">
        <v>117</v>
      </c>
      <c r="J111" s="19"/>
    </row>
    <row r="112" spans="1:10" s="54" customFormat="1" ht="13.5" customHeight="1" x14ac:dyDescent="0.3">
      <c r="B112" s="58" t="s">
        <v>116</v>
      </c>
      <c r="D112" s="58"/>
      <c r="E112" s="58"/>
      <c r="F112" s="58"/>
      <c r="G112" s="58"/>
      <c r="H112" s="81">
        <v>3.9</v>
      </c>
      <c r="I112" s="58" t="s">
        <v>115</v>
      </c>
      <c r="J112" s="19"/>
    </row>
    <row r="113" spans="2:10" s="54" customFormat="1" ht="13.5" customHeight="1" x14ac:dyDescent="0.3">
      <c r="B113" s="58" t="s">
        <v>114</v>
      </c>
      <c r="D113" s="58"/>
      <c r="E113" s="58"/>
      <c r="F113" s="58"/>
      <c r="G113" s="58"/>
      <c r="H113" s="80">
        <f>H111*H112</f>
        <v>0.25427999999999995</v>
      </c>
      <c r="I113" s="58"/>
      <c r="J113" s="19"/>
    </row>
    <row r="114" spans="2:10" s="54" customFormat="1" ht="13.5" customHeight="1" x14ac:dyDescent="0.3">
      <c r="B114" s="58" t="s">
        <v>113</v>
      </c>
      <c r="D114" s="58"/>
      <c r="E114" s="58"/>
      <c r="F114" s="58"/>
      <c r="G114" s="58"/>
      <c r="H114" s="79">
        <f>H109/(0.23*1.2*H113)</f>
        <v>267.9079805896958</v>
      </c>
      <c r="I114" s="58" t="s">
        <v>109</v>
      </c>
      <c r="J114" s="19"/>
    </row>
    <row r="115" spans="2:10" s="54" customFormat="1" ht="13.5" customHeight="1" x14ac:dyDescent="0.3">
      <c r="B115" s="78" t="s">
        <v>112</v>
      </c>
      <c r="D115" s="58"/>
      <c r="E115" s="58"/>
      <c r="F115" s="58"/>
      <c r="G115" s="58"/>
      <c r="H115" s="77">
        <v>2</v>
      </c>
      <c r="I115" s="76" t="s">
        <v>111</v>
      </c>
      <c r="J115" s="19"/>
    </row>
    <row r="116" spans="2:10" s="54" customFormat="1" ht="13.5" customHeight="1" x14ac:dyDescent="0.3">
      <c r="B116" s="58" t="s">
        <v>110</v>
      </c>
      <c r="D116" s="58"/>
      <c r="E116" s="58"/>
      <c r="F116" s="58"/>
      <c r="G116" s="58"/>
      <c r="H116" s="75">
        <f>H114/H115</f>
        <v>133.9539902948479</v>
      </c>
      <c r="I116" s="58" t="s">
        <v>109</v>
      </c>
      <c r="J116" s="19"/>
    </row>
    <row r="117" spans="2:10" s="54" customFormat="1" ht="13.5" customHeight="1" x14ac:dyDescent="0.3">
      <c r="B117" s="58"/>
      <c r="D117" s="58"/>
      <c r="E117" s="58"/>
      <c r="F117" s="58"/>
      <c r="G117" s="58"/>
      <c r="H117" s="74">
        <f>H116*1.2/3600</f>
        <v>4.4651330098282635E-2</v>
      </c>
      <c r="I117" s="58" t="s">
        <v>103</v>
      </c>
      <c r="J117" s="19"/>
    </row>
    <row r="118" spans="2:10" s="54" customFormat="1" ht="6" customHeight="1" x14ac:dyDescent="0.25">
      <c r="B118" s="66"/>
      <c r="C118" s="66"/>
      <c r="D118" s="66"/>
      <c r="E118" s="66"/>
      <c r="F118" s="66"/>
      <c r="G118" s="66"/>
      <c r="H118" s="66"/>
      <c r="I118" s="73"/>
      <c r="J118" s="66"/>
    </row>
    <row r="119" spans="2:10" s="54" customFormat="1" ht="13.5" customHeight="1" x14ac:dyDescent="0.3">
      <c r="B119" s="72" t="s">
        <v>108</v>
      </c>
      <c r="D119" s="47"/>
      <c r="E119" s="47"/>
      <c r="F119" s="47"/>
      <c r="G119" s="47"/>
      <c r="H119" s="44"/>
      <c r="I119" s="44"/>
      <c r="J119" s="44"/>
    </row>
    <row r="120" spans="2:10" s="54" customFormat="1" ht="13.5" customHeight="1" x14ac:dyDescent="0.25">
      <c r="B120" s="70"/>
      <c r="C120" s="69" t="s">
        <v>107</v>
      </c>
      <c r="D120" s="71"/>
      <c r="E120" s="68"/>
      <c r="F120" s="67"/>
      <c r="G120" s="66"/>
      <c r="H120" s="65"/>
      <c r="I120" s="65"/>
      <c r="J120" s="65"/>
    </row>
    <row r="121" spans="2:10" s="54" customFormat="1" ht="13.5" customHeight="1" x14ac:dyDescent="0.25">
      <c r="B121" s="70"/>
      <c r="C121" s="69" t="s">
        <v>106</v>
      </c>
      <c r="D121" s="66"/>
      <c r="E121" s="68"/>
      <c r="F121" s="67"/>
      <c r="G121" s="66"/>
      <c r="H121" s="65"/>
      <c r="I121" s="65"/>
      <c r="J121" s="65"/>
    </row>
    <row r="122" spans="2:10" s="54" customFormat="1" ht="13.5" customHeight="1" x14ac:dyDescent="0.3">
      <c r="B122" s="64" t="s">
        <v>105</v>
      </c>
      <c r="C122" s="52" t="s">
        <v>104</v>
      </c>
      <c r="D122" s="52"/>
      <c r="E122" s="52"/>
      <c r="F122" s="44"/>
      <c r="G122" s="44"/>
      <c r="H122" s="59">
        <f>H117</f>
        <v>4.4651330098282635E-2</v>
      </c>
      <c r="I122" s="52" t="s">
        <v>103</v>
      </c>
      <c r="J122" s="19"/>
    </row>
    <row r="123" spans="2:10" s="54" customFormat="1" ht="13.5" customHeight="1" x14ac:dyDescent="0.3">
      <c r="B123" s="32" t="s">
        <v>102</v>
      </c>
      <c r="C123" s="53" t="s">
        <v>101</v>
      </c>
      <c r="D123" s="52"/>
      <c r="E123" s="52"/>
      <c r="F123" s="44"/>
      <c r="G123" s="44"/>
      <c r="H123" s="63">
        <v>8.3140000000000001</v>
      </c>
      <c r="I123" s="53" t="s">
        <v>100</v>
      </c>
      <c r="J123" s="19"/>
    </row>
    <row r="124" spans="2:10" s="54" customFormat="1" ht="13.5" customHeight="1" x14ac:dyDescent="0.3">
      <c r="B124" s="32" t="s">
        <v>99</v>
      </c>
      <c r="C124" s="53" t="s">
        <v>98</v>
      </c>
      <c r="D124" s="52"/>
      <c r="E124" s="52"/>
      <c r="F124" s="44"/>
      <c r="G124" s="44"/>
      <c r="H124" s="62">
        <f>273+15</f>
        <v>288</v>
      </c>
      <c r="I124" s="53" t="s">
        <v>97</v>
      </c>
      <c r="J124" s="19"/>
    </row>
    <row r="125" spans="2:10" s="54" customFormat="1" ht="13.5" customHeight="1" x14ac:dyDescent="0.3">
      <c r="B125" s="32" t="s">
        <v>96</v>
      </c>
      <c r="C125" s="53" t="s">
        <v>95</v>
      </c>
      <c r="D125" s="52"/>
      <c r="E125" s="52"/>
      <c r="F125" s="44"/>
      <c r="G125" s="44"/>
      <c r="H125" s="61">
        <v>1</v>
      </c>
      <c r="I125" s="53" t="s">
        <v>88</v>
      </c>
      <c r="J125" s="19"/>
    </row>
    <row r="126" spans="2:10" s="54" customFormat="1" ht="13.5" customHeight="1" x14ac:dyDescent="0.3">
      <c r="B126" s="32" t="s">
        <v>94</v>
      </c>
      <c r="C126" s="53" t="s">
        <v>93</v>
      </c>
      <c r="D126" s="52"/>
      <c r="E126" s="52"/>
      <c r="F126" s="44"/>
      <c r="G126" s="44"/>
      <c r="H126" s="59">
        <f>1+SUM(H127:H130)</f>
        <v>1.5323529411764707</v>
      </c>
      <c r="I126" s="53" t="s">
        <v>88</v>
      </c>
      <c r="J126" s="19"/>
    </row>
    <row r="127" spans="2:10" s="54" customFormat="1" ht="13.5" customHeight="1" x14ac:dyDescent="0.3">
      <c r="B127" s="32"/>
      <c r="C127" s="53" t="s">
        <v>92</v>
      </c>
      <c r="D127" s="52"/>
      <c r="E127" s="52"/>
      <c r="F127" s="44"/>
      <c r="G127" s="44"/>
      <c r="H127" s="60">
        <v>0.05</v>
      </c>
      <c r="I127" s="53" t="s">
        <v>88</v>
      </c>
      <c r="J127" s="19"/>
    </row>
    <row r="128" spans="2:10" s="54" customFormat="1" ht="13.5" customHeight="1" x14ac:dyDescent="0.3">
      <c r="B128" s="32"/>
      <c r="C128" s="53" t="s">
        <v>91</v>
      </c>
      <c r="D128" s="52"/>
      <c r="E128" s="52"/>
      <c r="F128" s="44"/>
      <c r="G128" s="44"/>
      <c r="H128" s="60">
        <v>0.05</v>
      </c>
      <c r="I128" s="53" t="s">
        <v>88</v>
      </c>
      <c r="J128" s="19"/>
    </row>
    <row r="129" spans="1:207" s="54" customFormat="1" ht="13.5" customHeight="1" x14ac:dyDescent="0.3">
      <c r="B129" s="32"/>
      <c r="C129" s="53" t="s">
        <v>90</v>
      </c>
      <c r="D129" s="52"/>
      <c r="E129" s="52"/>
      <c r="F129" s="44"/>
      <c r="G129" s="44"/>
      <c r="H129" s="60">
        <v>0.05</v>
      </c>
      <c r="I129" s="53" t="s">
        <v>88</v>
      </c>
      <c r="J129" s="19"/>
    </row>
    <row r="130" spans="1:207" s="54" customFormat="1" ht="13.5" customHeight="1" x14ac:dyDescent="0.3">
      <c r="B130" s="32"/>
      <c r="C130" s="53" t="s">
        <v>89</v>
      </c>
      <c r="D130" s="52"/>
      <c r="E130" s="52"/>
      <c r="F130" s="44"/>
      <c r="G130" s="44"/>
      <c r="H130" s="59">
        <f>H112/10.2</f>
        <v>0.38235294117647062</v>
      </c>
      <c r="I130" s="53" t="s">
        <v>88</v>
      </c>
      <c r="J130" s="19"/>
    </row>
    <row r="131" spans="1:207" s="54" customFormat="1" ht="13.5" customHeight="1" x14ac:dyDescent="0.3">
      <c r="B131" s="32" t="s">
        <v>87</v>
      </c>
      <c r="C131" s="53" t="s">
        <v>86</v>
      </c>
      <c r="D131" s="52"/>
      <c r="E131" s="58"/>
      <c r="F131" s="44"/>
      <c r="G131" s="44"/>
      <c r="H131" s="57">
        <f>0.395/1.395</f>
        <v>0.28315412186379929</v>
      </c>
      <c r="I131" s="56"/>
      <c r="J131" s="19"/>
    </row>
    <row r="132" spans="1:207" s="54" customFormat="1" ht="13.5" customHeight="1" x14ac:dyDescent="0.3">
      <c r="B132" s="32" t="s">
        <v>85</v>
      </c>
      <c r="C132" s="53" t="s">
        <v>84</v>
      </c>
      <c r="D132" s="52"/>
      <c r="E132" s="52"/>
      <c r="F132" s="44"/>
      <c r="G132" s="44"/>
      <c r="H132" s="55">
        <v>0.7</v>
      </c>
      <c r="I132" s="50"/>
      <c r="J132" s="19"/>
    </row>
    <row r="133" spans="1:207" ht="13.5" customHeight="1" x14ac:dyDescent="0.3">
      <c r="B133" s="49"/>
      <c r="C133" s="53" t="s">
        <v>83</v>
      </c>
      <c r="D133" s="52"/>
      <c r="E133" s="52"/>
      <c r="F133" s="44"/>
      <c r="G133" s="44"/>
      <c r="H133" s="51">
        <f>H122*8.314*H124/(29.7*H131*H132)*( (H126/H125)^0.283 - 1)</f>
        <v>2.3316701772281774</v>
      </c>
      <c r="I133" s="50" t="s">
        <v>81</v>
      </c>
    </row>
    <row r="134" spans="1:207" ht="13.5" customHeight="1" x14ac:dyDescent="0.3">
      <c r="B134" s="49"/>
      <c r="C134" s="48" t="s">
        <v>82</v>
      </c>
      <c r="D134" s="47"/>
      <c r="E134" s="47"/>
      <c r="F134" s="44"/>
      <c r="G134" s="44"/>
      <c r="H134" s="46">
        <v>4</v>
      </c>
      <c r="I134" s="45" t="s">
        <v>81</v>
      </c>
    </row>
    <row r="135" spans="1:207" ht="13.5" customHeight="1" x14ac:dyDescent="0.3">
      <c r="B135" s="44"/>
      <c r="C135" s="44"/>
      <c r="D135" s="44"/>
      <c r="E135" s="44"/>
      <c r="F135" s="44"/>
      <c r="G135" s="44"/>
      <c r="H135" s="44"/>
      <c r="I135" s="44"/>
      <c r="J135" s="44"/>
    </row>
    <row r="136" spans="1:207" ht="13.5" customHeight="1" x14ac:dyDescent="0.3">
      <c r="B136" s="44"/>
      <c r="C136" s="44"/>
      <c r="D136" s="44"/>
      <c r="E136" s="44"/>
      <c r="F136" s="44"/>
      <c r="G136" s="44"/>
      <c r="H136" s="44"/>
      <c r="I136" s="44"/>
      <c r="J136" s="44"/>
    </row>
    <row r="137" spans="1:207" ht="13.5" customHeight="1" x14ac:dyDescent="0.3">
      <c r="A137" s="19"/>
      <c r="B137" s="23" t="s">
        <v>80</v>
      </c>
      <c r="C137" s="19"/>
      <c r="D137" s="24"/>
      <c r="E137" s="24"/>
      <c r="F137" s="24"/>
      <c r="G137" s="24"/>
      <c r="H137" s="25"/>
      <c r="I137" s="24"/>
    </row>
    <row r="138" spans="1:207" s="18" customFormat="1" ht="13.5" customHeight="1" x14ac:dyDescent="0.3">
      <c r="A138" s="19"/>
      <c r="B138" s="19"/>
      <c r="C138" s="43"/>
      <c r="D138" s="24"/>
      <c r="E138" s="24"/>
      <c r="F138" s="24"/>
      <c r="G138" s="24"/>
      <c r="H138" s="25"/>
      <c r="I138" s="2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14"/>
      <c r="DQ138" s="14"/>
      <c r="DR138" s="14"/>
      <c r="DS138" s="14"/>
      <c r="DT138" s="14"/>
      <c r="DU138" s="14"/>
      <c r="DV138" s="14"/>
      <c r="DW138" s="14"/>
      <c r="DX138" s="14"/>
      <c r="DY138" s="14"/>
      <c r="DZ138" s="14"/>
      <c r="EA138" s="14"/>
      <c r="EB138" s="14"/>
      <c r="EC138" s="14"/>
      <c r="ED138" s="14"/>
      <c r="EE138" s="14"/>
      <c r="EF138" s="14"/>
      <c r="EG138" s="14"/>
      <c r="EH138" s="14"/>
      <c r="EI138" s="14"/>
      <c r="EJ138" s="14"/>
      <c r="EK138" s="14"/>
      <c r="EL138" s="14"/>
      <c r="EM138" s="14"/>
      <c r="EN138" s="14"/>
      <c r="EO138" s="14"/>
      <c r="EP138" s="14"/>
      <c r="EQ138" s="14"/>
      <c r="ER138" s="14"/>
      <c r="ES138" s="14"/>
      <c r="ET138" s="14"/>
      <c r="EU138" s="14"/>
      <c r="EV138" s="14"/>
      <c r="EW138" s="14"/>
      <c r="EX138" s="14"/>
      <c r="EY138" s="14"/>
      <c r="EZ138" s="14"/>
      <c r="FA138" s="14"/>
      <c r="FB138" s="14"/>
      <c r="FC138" s="14"/>
      <c r="FD138" s="14"/>
      <c r="FE138" s="14"/>
      <c r="FF138" s="14"/>
      <c r="FG138" s="14"/>
      <c r="FH138" s="14"/>
      <c r="FI138" s="14"/>
      <c r="FJ138" s="14"/>
      <c r="FK138" s="14"/>
      <c r="FL138" s="14"/>
      <c r="FM138" s="14"/>
      <c r="FN138" s="14"/>
      <c r="FO138" s="14"/>
      <c r="FP138" s="14"/>
      <c r="FQ138" s="14"/>
      <c r="FR138" s="14"/>
      <c r="FS138" s="14"/>
      <c r="FT138" s="14"/>
      <c r="FU138" s="14"/>
      <c r="FV138" s="14"/>
      <c r="FW138" s="14"/>
      <c r="FX138" s="14"/>
      <c r="FY138" s="14"/>
      <c r="FZ138" s="14"/>
      <c r="GA138" s="14"/>
      <c r="GB138" s="14"/>
      <c r="GC138" s="14"/>
      <c r="GD138" s="14"/>
      <c r="GE138" s="14"/>
      <c r="GF138" s="14"/>
      <c r="GG138" s="14"/>
      <c r="GH138" s="14"/>
      <c r="GI138" s="14"/>
      <c r="GJ138" s="14"/>
      <c r="GK138" s="14"/>
      <c r="GL138" s="14"/>
      <c r="GM138" s="14"/>
      <c r="GN138" s="14"/>
      <c r="GO138" s="14"/>
      <c r="GP138" s="14"/>
      <c r="GQ138" s="14"/>
      <c r="GR138" s="14"/>
      <c r="GS138" s="14"/>
      <c r="GT138" s="14"/>
      <c r="GU138" s="14"/>
      <c r="GV138" s="14"/>
      <c r="GW138" s="14"/>
      <c r="GX138" s="14"/>
      <c r="GY138" s="14"/>
    </row>
    <row r="139" spans="1:207" s="18" customFormat="1" ht="13.5" customHeight="1" x14ac:dyDescent="0.3">
      <c r="A139" s="19"/>
      <c r="B139" s="23" t="s">
        <v>79</v>
      </c>
      <c r="C139" s="43"/>
      <c r="D139" s="24"/>
      <c r="E139" s="24"/>
      <c r="F139" s="24"/>
      <c r="G139" s="24"/>
      <c r="H139" s="25"/>
      <c r="I139" s="2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  <c r="DX139" s="14"/>
      <c r="DY139" s="14"/>
      <c r="DZ139" s="14"/>
      <c r="EA139" s="14"/>
      <c r="EB139" s="14"/>
      <c r="EC139" s="14"/>
      <c r="ED139" s="14"/>
      <c r="EE139" s="14"/>
      <c r="EF139" s="14"/>
      <c r="EG139" s="14"/>
      <c r="EH139" s="14"/>
      <c r="EI139" s="14"/>
      <c r="EJ139" s="14"/>
      <c r="EK139" s="14"/>
      <c r="EL139" s="14"/>
      <c r="EM139" s="14"/>
      <c r="EN139" s="14"/>
      <c r="EO139" s="14"/>
      <c r="EP139" s="14"/>
      <c r="EQ139" s="14"/>
      <c r="ER139" s="14"/>
      <c r="ES139" s="14"/>
      <c r="ET139" s="14"/>
      <c r="EU139" s="14"/>
      <c r="EV139" s="14"/>
      <c r="EW139" s="14"/>
      <c r="EX139" s="14"/>
      <c r="EY139" s="14"/>
      <c r="EZ139" s="14"/>
      <c r="FA139" s="14"/>
      <c r="FB139" s="14"/>
      <c r="FC139" s="14"/>
      <c r="FD139" s="14"/>
      <c r="FE139" s="14"/>
      <c r="FF139" s="14"/>
      <c r="FG139" s="14"/>
      <c r="FH139" s="14"/>
      <c r="FI139" s="14"/>
      <c r="FJ139" s="14"/>
      <c r="FK139" s="14"/>
      <c r="FL139" s="14"/>
      <c r="FM139" s="14"/>
      <c r="FN139" s="14"/>
      <c r="FO139" s="14"/>
      <c r="FP139" s="14"/>
      <c r="FQ139" s="14"/>
      <c r="FR139" s="14"/>
      <c r="FS139" s="14"/>
      <c r="FT139" s="14"/>
      <c r="FU139" s="14"/>
      <c r="FV139" s="14"/>
      <c r="FW139" s="14"/>
      <c r="FX139" s="14"/>
      <c r="FY139" s="14"/>
      <c r="FZ139" s="14"/>
      <c r="GA139" s="14"/>
      <c r="GB139" s="14"/>
      <c r="GC139" s="14"/>
      <c r="GD139" s="14"/>
      <c r="GE139" s="14"/>
      <c r="GF139" s="14"/>
      <c r="GG139" s="14"/>
      <c r="GH139" s="14"/>
      <c r="GI139" s="14"/>
      <c r="GJ139" s="14"/>
      <c r="GK139" s="14"/>
      <c r="GL139" s="14"/>
      <c r="GM139" s="14"/>
      <c r="GN139" s="14"/>
      <c r="GO139" s="14"/>
      <c r="GP139" s="14"/>
      <c r="GQ139" s="14"/>
      <c r="GR139" s="14"/>
      <c r="GS139" s="14"/>
      <c r="GT139" s="14"/>
      <c r="GU139" s="14"/>
      <c r="GV139" s="14"/>
      <c r="GW139" s="14"/>
      <c r="GX139" s="14"/>
      <c r="GY139" s="14"/>
    </row>
    <row r="140" spans="1:207" s="18" customFormat="1" ht="13.5" customHeight="1" x14ac:dyDescent="0.3">
      <c r="A140" s="19"/>
      <c r="B140" s="19" t="s">
        <v>78</v>
      </c>
      <c r="C140" s="19"/>
      <c r="D140" s="19"/>
      <c r="E140" s="19"/>
      <c r="F140" s="19"/>
      <c r="G140" s="24"/>
      <c r="H140" s="38">
        <f>H25</f>
        <v>36547.199999999997</v>
      </c>
      <c r="I140" s="19" t="s">
        <v>45</v>
      </c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14"/>
      <c r="DQ140" s="14"/>
      <c r="DR140" s="14"/>
      <c r="DS140" s="14"/>
      <c r="DT140" s="14"/>
      <c r="DU140" s="14"/>
      <c r="DV140" s="14"/>
      <c r="DW140" s="14"/>
      <c r="DX140" s="14"/>
      <c r="DY140" s="14"/>
      <c r="DZ140" s="14"/>
      <c r="EA140" s="14"/>
      <c r="EB140" s="14"/>
      <c r="EC140" s="14"/>
      <c r="ED140" s="14"/>
      <c r="EE140" s="14"/>
      <c r="EF140" s="14"/>
      <c r="EG140" s="14"/>
      <c r="EH140" s="14"/>
      <c r="EI140" s="14"/>
      <c r="EJ140" s="14"/>
      <c r="EK140" s="14"/>
      <c r="EL140" s="14"/>
      <c r="EM140" s="14"/>
      <c r="EN140" s="14"/>
      <c r="EO140" s="14"/>
      <c r="EP140" s="14"/>
      <c r="EQ140" s="14"/>
      <c r="ER140" s="14"/>
      <c r="ES140" s="14"/>
      <c r="ET140" s="14"/>
      <c r="EU140" s="14"/>
      <c r="EV140" s="14"/>
      <c r="EW140" s="14"/>
      <c r="EX140" s="14"/>
      <c r="EY140" s="14"/>
      <c r="EZ140" s="14"/>
      <c r="FA140" s="14"/>
      <c r="FB140" s="14"/>
      <c r="FC140" s="14"/>
      <c r="FD140" s="14"/>
      <c r="FE140" s="14"/>
      <c r="FF140" s="14"/>
      <c r="FG140" s="14"/>
      <c r="FH140" s="14"/>
      <c r="FI140" s="14"/>
      <c r="FJ140" s="14"/>
      <c r="FK140" s="14"/>
      <c r="FL140" s="14"/>
      <c r="FM140" s="14"/>
      <c r="FN140" s="14"/>
      <c r="FO140" s="14"/>
      <c r="FP140" s="14"/>
      <c r="FQ140" s="14"/>
      <c r="FR140" s="14"/>
      <c r="FS140" s="14"/>
      <c r="FT140" s="14"/>
      <c r="FU140" s="14"/>
      <c r="FV140" s="14"/>
      <c r="FW140" s="14"/>
      <c r="FX140" s="14"/>
      <c r="FY140" s="14"/>
      <c r="FZ140" s="14"/>
      <c r="GA140" s="14"/>
      <c r="GB140" s="14"/>
      <c r="GC140" s="14"/>
      <c r="GD140" s="14"/>
      <c r="GE140" s="14"/>
      <c r="GF140" s="14"/>
      <c r="GG140" s="14"/>
      <c r="GH140" s="14"/>
      <c r="GI140" s="14"/>
      <c r="GJ140" s="14"/>
      <c r="GK140" s="14"/>
      <c r="GL140" s="14"/>
      <c r="GM140" s="14"/>
      <c r="GN140" s="14"/>
      <c r="GO140" s="14"/>
      <c r="GP140" s="14"/>
      <c r="GQ140" s="14"/>
      <c r="GR140" s="14"/>
      <c r="GS140" s="14"/>
      <c r="GT140" s="14"/>
      <c r="GU140" s="14"/>
      <c r="GV140" s="14"/>
      <c r="GW140" s="14"/>
      <c r="GX140" s="14"/>
      <c r="GY140" s="14"/>
    </row>
    <row r="141" spans="1:207" s="18" customFormat="1" ht="13.5" customHeight="1" x14ac:dyDescent="0.3">
      <c r="A141" s="19"/>
      <c r="B141" s="19"/>
      <c r="C141" s="19"/>
      <c r="D141" s="19"/>
      <c r="E141" s="19"/>
      <c r="F141" s="19"/>
      <c r="G141" s="24"/>
      <c r="H141" s="38">
        <f>H140/24</f>
        <v>1522.8</v>
      </c>
      <c r="I141" s="19" t="s">
        <v>59</v>
      </c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14"/>
      <c r="DQ141" s="14"/>
      <c r="DR141" s="14"/>
      <c r="DS141" s="14"/>
      <c r="DT141" s="14"/>
      <c r="DU141" s="14"/>
      <c r="DV141" s="14"/>
      <c r="DW141" s="14"/>
      <c r="DX141" s="14"/>
      <c r="DY141" s="14"/>
      <c r="DZ141" s="14"/>
      <c r="EA141" s="14"/>
      <c r="EB141" s="14"/>
      <c r="EC141" s="14"/>
      <c r="ED141" s="14"/>
      <c r="EE141" s="14"/>
      <c r="EF141" s="14"/>
      <c r="EG141" s="14"/>
      <c r="EH141" s="14"/>
      <c r="EI141" s="14"/>
      <c r="EJ141" s="14"/>
      <c r="EK141" s="14"/>
      <c r="EL141" s="14"/>
      <c r="EM141" s="14"/>
      <c r="EN141" s="14"/>
      <c r="EO141" s="14"/>
      <c r="EP141" s="14"/>
      <c r="EQ141" s="14"/>
      <c r="ER141" s="14"/>
      <c r="ES141" s="14"/>
      <c r="ET141" s="14"/>
      <c r="EU141" s="14"/>
      <c r="EV141" s="14"/>
      <c r="EW141" s="14"/>
      <c r="EX141" s="14"/>
      <c r="EY141" s="14"/>
      <c r="EZ141" s="14"/>
      <c r="FA141" s="14"/>
      <c r="FB141" s="14"/>
      <c r="FC141" s="14"/>
      <c r="FD141" s="14"/>
      <c r="FE141" s="14"/>
      <c r="FF141" s="14"/>
      <c r="FG141" s="14"/>
      <c r="FH141" s="14"/>
      <c r="FI141" s="14"/>
      <c r="FJ141" s="14"/>
      <c r="FK141" s="14"/>
      <c r="FL141" s="14"/>
      <c r="FM141" s="14"/>
      <c r="FN141" s="14"/>
      <c r="FO141" s="14"/>
      <c r="FP141" s="14"/>
      <c r="FQ141" s="14"/>
      <c r="FR141" s="14"/>
      <c r="FS141" s="14"/>
      <c r="FT141" s="14"/>
      <c r="FU141" s="14"/>
      <c r="FV141" s="14"/>
      <c r="FW141" s="14"/>
      <c r="FX141" s="14"/>
      <c r="FY141" s="14"/>
      <c r="FZ141" s="14"/>
      <c r="GA141" s="14"/>
      <c r="GB141" s="14"/>
      <c r="GC141" s="14"/>
      <c r="GD141" s="14"/>
      <c r="GE141" s="14"/>
      <c r="GF141" s="14"/>
      <c r="GG141" s="14"/>
      <c r="GH141" s="14"/>
      <c r="GI141" s="14"/>
      <c r="GJ141" s="14"/>
      <c r="GK141" s="14"/>
      <c r="GL141" s="14"/>
      <c r="GM141" s="14"/>
      <c r="GN141" s="14"/>
      <c r="GO141" s="14"/>
      <c r="GP141" s="14"/>
      <c r="GQ141" s="14"/>
      <c r="GR141" s="14"/>
      <c r="GS141" s="14"/>
      <c r="GT141" s="14"/>
      <c r="GU141" s="14"/>
      <c r="GV141" s="14"/>
      <c r="GW141" s="14"/>
      <c r="GX141" s="14"/>
      <c r="GY141" s="14"/>
    </row>
    <row r="142" spans="1:207" s="18" customFormat="1" ht="13.5" customHeight="1" x14ac:dyDescent="0.3">
      <c r="A142" s="19"/>
      <c r="B142" s="24" t="s">
        <v>77</v>
      </c>
      <c r="C142" s="24"/>
      <c r="D142" s="24"/>
      <c r="E142" s="24"/>
      <c r="F142" s="19"/>
      <c r="G142" s="24"/>
      <c r="H142" s="42">
        <v>3</v>
      </c>
      <c r="I142" s="2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14"/>
      <c r="DQ142" s="14"/>
      <c r="DR142" s="14"/>
      <c r="DS142" s="14"/>
      <c r="DT142" s="14"/>
      <c r="DU142" s="14"/>
      <c r="DV142" s="14"/>
      <c r="DW142" s="14"/>
      <c r="DX142" s="14"/>
      <c r="DY142" s="14"/>
      <c r="DZ142" s="14"/>
      <c r="EA142" s="14"/>
      <c r="EB142" s="14"/>
      <c r="EC142" s="14"/>
      <c r="ED142" s="14"/>
      <c r="EE142" s="14"/>
      <c r="EF142" s="14"/>
      <c r="EG142" s="14"/>
      <c r="EH142" s="14"/>
      <c r="EI142" s="14"/>
      <c r="EJ142" s="14"/>
      <c r="EK142" s="14"/>
      <c r="EL142" s="14"/>
      <c r="EM142" s="14"/>
      <c r="EN142" s="14"/>
      <c r="EO142" s="14"/>
      <c r="EP142" s="14"/>
      <c r="EQ142" s="14"/>
      <c r="ER142" s="14"/>
      <c r="ES142" s="14"/>
      <c r="ET142" s="14"/>
      <c r="EU142" s="14"/>
      <c r="EV142" s="14"/>
      <c r="EW142" s="14"/>
      <c r="EX142" s="14"/>
      <c r="EY142" s="14"/>
      <c r="EZ142" s="14"/>
      <c r="FA142" s="14"/>
      <c r="FB142" s="14"/>
      <c r="FC142" s="14"/>
      <c r="FD142" s="14"/>
      <c r="FE142" s="14"/>
      <c r="FF142" s="14"/>
      <c r="FG142" s="14"/>
      <c r="FH142" s="14"/>
      <c r="FI142" s="14"/>
      <c r="FJ142" s="14"/>
      <c r="FK142" s="14"/>
      <c r="FL142" s="14"/>
      <c r="FM142" s="14"/>
      <c r="FN142" s="14"/>
      <c r="FO142" s="14"/>
      <c r="FP142" s="14"/>
      <c r="FQ142" s="14"/>
      <c r="FR142" s="14"/>
      <c r="FS142" s="14"/>
      <c r="FT142" s="14"/>
      <c r="FU142" s="14"/>
      <c r="FV142" s="14"/>
      <c r="FW142" s="14"/>
      <c r="FX142" s="14"/>
      <c r="FY142" s="14"/>
      <c r="FZ142" s="14"/>
      <c r="GA142" s="14"/>
      <c r="GB142" s="14"/>
      <c r="GC142" s="14"/>
      <c r="GD142" s="14"/>
      <c r="GE142" s="14"/>
      <c r="GF142" s="14"/>
      <c r="GG142" s="14"/>
      <c r="GH142" s="14"/>
      <c r="GI142" s="14"/>
      <c r="GJ142" s="14"/>
      <c r="GK142" s="14"/>
      <c r="GL142" s="14"/>
      <c r="GM142" s="14"/>
      <c r="GN142" s="14"/>
      <c r="GO142" s="14"/>
      <c r="GP142" s="14"/>
      <c r="GQ142" s="14"/>
      <c r="GR142" s="14"/>
      <c r="GS142" s="14"/>
      <c r="GT142" s="14"/>
      <c r="GU142" s="14"/>
      <c r="GV142" s="14"/>
      <c r="GW142" s="14"/>
      <c r="GX142" s="14"/>
      <c r="GY142" s="14"/>
    </row>
    <row r="143" spans="1:207" s="18" customFormat="1" ht="13.5" customHeight="1" x14ac:dyDescent="0.3">
      <c r="A143" s="19"/>
      <c r="B143" s="19" t="s">
        <v>76</v>
      </c>
      <c r="C143" s="19"/>
      <c r="D143" s="19"/>
      <c r="E143" s="19"/>
      <c r="F143" s="19"/>
      <c r="G143" s="24"/>
      <c r="H143" s="41">
        <v>35</v>
      </c>
      <c r="I143" s="19" t="s">
        <v>75</v>
      </c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14"/>
      <c r="DQ143" s="14"/>
      <c r="DR143" s="14"/>
      <c r="DS143" s="14"/>
      <c r="DT143" s="14"/>
      <c r="DU143" s="14"/>
      <c r="DV143" s="14"/>
      <c r="DW143" s="14"/>
      <c r="DX143" s="14"/>
      <c r="DY143" s="14"/>
      <c r="DZ143" s="14"/>
      <c r="EA143" s="14"/>
      <c r="EB143" s="14"/>
      <c r="EC143" s="14"/>
      <c r="ED143" s="14"/>
      <c r="EE143" s="14"/>
      <c r="EF143" s="14"/>
      <c r="EG143" s="14"/>
      <c r="EH143" s="14"/>
      <c r="EI143" s="14"/>
      <c r="EJ143" s="14"/>
      <c r="EK143" s="14"/>
      <c r="EL143" s="14"/>
      <c r="EM143" s="14"/>
      <c r="EN143" s="14"/>
      <c r="EO143" s="14"/>
      <c r="EP143" s="14"/>
      <c r="EQ143" s="14"/>
      <c r="ER143" s="14"/>
      <c r="ES143" s="14"/>
      <c r="ET143" s="14"/>
      <c r="EU143" s="14"/>
      <c r="EV143" s="14"/>
      <c r="EW143" s="14"/>
      <c r="EX143" s="14"/>
      <c r="EY143" s="14"/>
      <c r="EZ143" s="14"/>
      <c r="FA143" s="14"/>
      <c r="FB143" s="14"/>
      <c r="FC143" s="14"/>
      <c r="FD143" s="14"/>
      <c r="FE143" s="14"/>
      <c r="FF143" s="14"/>
      <c r="FG143" s="14"/>
      <c r="FH143" s="14"/>
      <c r="FI143" s="14"/>
      <c r="FJ143" s="14"/>
      <c r="FK143" s="14"/>
      <c r="FL143" s="14"/>
      <c r="FM143" s="14"/>
      <c r="FN143" s="14"/>
      <c r="FO143" s="14"/>
      <c r="FP143" s="14"/>
      <c r="FQ143" s="14"/>
      <c r="FR143" s="14"/>
      <c r="FS143" s="14"/>
      <c r="FT143" s="14"/>
      <c r="FU143" s="14"/>
      <c r="FV143" s="14"/>
      <c r="FW143" s="14"/>
      <c r="FX143" s="14"/>
      <c r="FY143" s="14"/>
      <c r="FZ143" s="14"/>
      <c r="GA143" s="14"/>
      <c r="GB143" s="14"/>
      <c r="GC143" s="14"/>
      <c r="GD143" s="14"/>
      <c r="GE143" s="14"/>
      <c r="GF143" s="14"/>
      <c r="GG143" s="14"/>
      <c r="GH143" s="14"/>
      <c r="GI143" s="14"/>
      <c r="GJ143" s="14"/>
      <c r="GK143" s="14"/>
      <c r="GL143" s="14"/>
      <c r="GM143" s="14"/>
      <c r="GN143" s="14"/>
      <c r="GO143" s="14"/>
      <c r="GP143" s="14"/>
      <c r="GQ143" s="14"/>
      <c r="GR143" s="14"/>
      <c r="GS143" s="14"/>
      <c r="GT143" s="14"/>
      <c r="GU143" s="14"/>
      <c r="GV143" s="14"/>
      <c r="GW143" s="14"/>
      <c r="GX143" s="14"/>
      <c r="GY143" s="14"/>
    </row>
    <row r="144" spans="1:207" s="18" customFormat="1" ht="13.5" customHeight="1" x14ac:dyDescent="0.3">
      <c r="A144" s="19"/>
      <c r="B144" s="19" t="s">
        <v>74</v>
      </c>
      <c r="C144" s="19"/>
      <c r="D144" s="19"/>
      <c r="E144" s="19"/>
      <c r="F144" s="19"/>
      <c r="G144" s="24"/>
      <c r="H144" s="38">
        <f>H142*H143^2/4*PI()</f>
        <v>2886.3382504856222</v>
      </c>
      <c r="I144" s="19" t="s">
        <v>70</v>
      </c>
      <c r="J144" s="37" t="s">
        <v>73</v>
      </c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14"/>
      <c r="DQ144" s="14"/>
      <c r="DR144" s="14"/>
      <c r="DS144" s="14"/>
      <c r="DT144" s="14"/>
      <c r="DU144" s="14"/>
      <c r="DV144" s="14"/>
      <c r="DW144" s="14"/>
      <c r="DX144" s="14"/>
      <c r="DY144" s="14"/>
      <c r="DZ144" s="14"/>
      <c r="EA144" s="14"/>
      <c r="EB144" s="14"/>
      <c r="EC144" s="14"/>
      <c r="ED144" s="14"/>
      <c r="EE144" s="14"/>
      <c r="EF144" s="14"/>
      <c r="EG144" s="14"/>
      <c r="EH144" s="14"/>
      <c r="EI144" s="14"/>
      <c r="EJ144" s="14"/>
      <c r="EK144" s="14"/>
      <c r="EL144" s="14"/>
      <c r="EM144" s="14"/>
      <c r="EN144" s="14"/>
      <c r="EO144" s="14"/>
      <c r="EP144" s="14"/>
      <c r="EQ144" s="14"/>
      <c r="ER144" s="14"/>
      <c r="ES144" s="14"/>
      <c r="ET144" s="14"/>
      <c r="EU144" s="14"/>
      <c r="EV144" s="14"/>
      <c r="EW144" s="14"/>
      <c r="EX144" s="14"/>
      <c r="EY144" s="14"/>
      <c r="EZ144" s="14"/>
      <c r="FA144" s="14"/>
      <c r="FB144" s="14"/>
      <c r="FC144" s="14"/>
      <c r="FD144" s="14"/>
      <c r="FE144" s="14"/>
      <c r="FF144" s="14"/>
      <c r="FG144" s="14"/>
      <c r="FH144" s="14"/>
      <c r="FI144" s="14"/>
      <c r="FJ144" s="14"/>
      <c r="FK144" s="14"/>
      <c r="FL144" s="14"/>
      <c r="FM144" s="14"/>
      <c r="FN144" s="14"/>
      <c r="FO144" s="14"/>
      <c r="FP144" s="14"/>
      <c r="FQ144" s="14"/>
      <c r="FR144" s="14"/>
      <c r="FS144" s="14"/>
      <c r="FT144" s="14"/>
      <c r="FU144" s="14"/>
      <c r="FV144" s="14"/>
      <c r="FW144" s="14"/>
      <c r="FX144" s="14"/>
      <c r="FY144" s="14"/>
      <c r="FZ144" s="14"/>
      <c r="GA144" s="14"/>
      <c r="GB144" s="14"/>
      <c r="GC144" s="14"/>
      <c r="GD144" s="14"/>
      <c r="GE144" s="14"/>
      <c r="GF144" s="14"/>
      <c r="GG144" s="14"/>
      <c r="GH144" s="14"/>
      <c r="GI144" s="14"/>
      <c r="GJ144" s="14"/>
      <c r="GK144" s="14"/>
      <c r="GL144" s="14"/>
      <c r="GM144" s="14"/>
      <c r="GN144" s="14"/>
      <c r="GO144" s="14"/>
      <c r="GP144" s="14"/>
      <c r="GQ144" s="14"/>
      <c r="GR144" s="14"/>
      <c r="GS144" s="14"/>
      <c r="GT144" s="14"/>
      <c r="GU144" s="14"/>
      <c r="GV144" s="14"/>
      <c r="GW144" s="14"/>
      <c r="GX144" s="14"/>
      <c r="GY144" s="14"/>
    </row>
    <row r="145" spans="1:207" s="18" customFormat="1" ht="13.5" customHeight="1" x14ac:dyDescent="0.3">
      <c r="A145" s="19"/>
      <c r="B145" s="39" t="s">
        <v>72</v>
      </c>
      <c r="C145" s="39"/>
      <c r="D145" s="39"/>
      <c r="E145" s="39"/>
      <c r="F145" s="39"/>
      <c r="G145" s="27"/>
      <c r="H145" s="40">
        <f>$H141/H144</f>
        <v>0.52758889216944382</v>
      </c>
      <c r="I145" s="39" t="s">
        <v>68</v>
      </c>
      <c r="J145" s="37">
        <v>0.9</v>
      </c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14"/>
      <c r="DQ145" s="14"/>
      <c r="DR145" s="14"/>
      <c r="DS145" s="14"/>
      <c r="DT145" s="14"/>
      <c r="DU145" s="14"/>
      <c r="DV145" s="14"/>
      <c r="DW145" s="14"/>
      <c r="DX145" s="14"/>
      <c r="DY145" s="14"/>
      <c r="DZ145" s="14"/>
      <c r="EA145" s="14"/>
      <c r="EB145" s="14"/>
      <c r="EC145" s="14"/>
      <c r="ED145" s="14"/>
      <c r="EE145" s="14"/>
      <c r="EF145" s="14"/>
      <c r="EG145" s="14"/>
      <c r="EH145" s="14"/>
      <c r="EI145" s="14"/>
      <c r="EJ145" s="14"/>
      <c r="EK145" s="14"/>
      <c r="EL145" s="14"/>
      <c r="EM145" s="14"/>
      <c r="EN145" s="14"/>
      <c r="EO145" s="14"/>
      <c r="EP145" s="14"/>
      <c r="EQ145" s="14"/>
      <c r="ER145" s="14"/>
      <c r="ES145" s="14"/>
      <c r="ET145" s="14"/>
      <c r="EU145" s="14"/>
      <c r="EV145" s="14"/>
      <c r="EW145" s="14"/>
      <c r="EX145" s="14"/>
      <c r="EY145" s="14"/>
      <c r="EZ145" s="14"/>
      <c r="FA145" s="14"/>
      <c r="FB145" s="14"/>
      <c r="FC145" s="14"/>
      <c r="FD145" s="14"/>
      <c r="FE145" s="14"/>
      <c r="FF145" s="14"/>
      <c r="FG145" s="14"/>
      <c r="FH145" s="14"/>
      <c r="FI145" s="14"/>
      <c r="FJ145" s="14"/>
      <c r="FK145" s="14"/>
      <c r="FL145" s="14"/>
      <c r="FM145" s="14"/>
      <c r="FN145" s="14"/>
      <c r="FO145" s="14"/>
      <c r="FP145" s="14"/>
      <c r="FQ145" s="14"/>
      <c r="FR145" s="14"/>
      <c r="FS145" s="14"/>
      <c r="FT145" s="14"/>
      <c r="FU145" s="14"/>
      <c r="FV145" s="14"/>
      <c r="FW145" s="14"/>
      <c r="FX145" s="14"/>
      <c r="FY145" s="14"/>
      <c r="FZ145" s="14"/>
      <c r="GA145" s="14"/>
      <c r="GB145" s="14"/>
      <c r="GC145" s="14"/>
      <c r="GD145" s="14"/>
      <c r="GE145" s="14"/>
      <c r="GF145" s="14"/>
      <c r="GG145" s="14"/>
      <c r="GH145" s="14"/>
      <c r="GI145" s="14"/>
      <c r="GJ145" s="14"/>
      <c r="GK145" s="14"/>
      <c r="GL145" s="14"/>
      <c r="GM145" s="14"/>
      <c r="GN145" s="14"/>
      <c r="GO145" s="14"/>
      <c r="GP145" s="14"/>
      <c r="GQ145" s="14"/>
      <c r="GR145" s="14"/>
      <c r="GS145" s="14"/>
      <c r="GT145" s="14"/>
      <c r="GU145" s="14"/>
      <c r="GV145" s="14"/>
      <c r="GW145" s="14"/>
      <c r="GX145" s="14"/>
      <c r="GY145" s="14"/>
    </row>
    <row r="146" spans="1:207" s="18" customFormat="1" ht="13.5" customHeight="1" x14ac:dyDescent="0.3">
      <c r="A146" s="19"/>
      <c r="B146" s="19" t="s">
        <v>71</v>
      </c>
      <c r="C146" s="19"/>
      <c r="D146" s="19"/>
      <c r="E146" s="19"/>
      <c r="F146" s="19"/>
      <c r="G146" s="24"/>
      <c r="H146" s="38">
        <f>(H142-1)*H143^2/4*PI()</f>
        <v>1924.2255003237483</v>
      </c>
      <c r="I146" s="19" t="s">
        <v>70</v>
      </c>
      <c r="J146" s="37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14"/>
      <c r="DQ146" s="14"/>
      <c r="DR146" s="14"/>
      <c r="DS146" s="14"/>
      <c r="DT146" s="14"/>
      <c r="DU146" s="14"/>
      <c r="DV146" s="14"/>
      <c r="DW146" s="14"/>
      <c r="DX146" s="14"/>
      <c r="DY146" s="14"/>
      <c r="DZ146" s="14"/>
      <c r="EA146" s="14"/>
      <c r="EB146" s="14"/>
      <c r="EC146" s="14"/>
      <c r="ED146" s="14"/>
      <c r="EE146" s="14"/>
      <c r="EF146" s="14"/>
      <c r="EG146" s="14"/>
      <c r="EH146" s="14"/>
      <c r="EI146" s="14"/>
      <c r="EJ146" s="14"/>
      <c r="EK146" s="14"/>
      <c r="EL146" s="14"/>
      <c r="EM146" s="14"/>
      <c r="EN146" s="14"/>
      <c r="EO146" s="14"/>
      <c r="EP146" s="14"/>
      <c r="EQ146" s="14"/>
      <c r="ER146" s="14"/>
      <c r="ES146" s="14"/>
      <c r="ET146" s="14"/>
      <c r="EU146" s="14"/>
      <c r="EV146" s="14"/>
      <c r="EW146" s="14"/>
      <c r="EX146" s="14"/>
      <c r="EY146" s="14"/>
      <c r="EZ146" s="14"/>
      <c r="FA146" s="14"/>
      <c r="FB146" s="14"/>
      <c r="FC146" s="14"/>
      <c r="FD146" s="14"/>
      <c r="FE146" s="14"/>
      <c r="FF146" s="14"/>
      <c r="FG146" s="14"/>
      <c r="FH146" s="14"/>
      <c r="FI146" s="14"/>
      <c r="FJ146" s="14"/>
      <c r="FK146" s="14"/>
      <c r="FL146" s="14"/>
      <c r="FM146" s="14"/>
      <c r="FN146" s="14"/>
      <c r="FO146" s="14"/>
      <c r="FP146" s="14"/>
      <c r="FQ146" s="14"/>
      <c r="FR146" s="14"/>
      <c r="FS146" s="14"/>
      <c r="FT146" s="14"/>
      <c r="FU146" s="14"/>
      <c r="FV146" s="14"/>
      <c r="FW146" s="14"/>
      <c r="FX146" s="14"/>
      <c r="FY146" s="14"/>
      <c r="FZ146" s="14"/>
      <c r="GA146" s="14"/>
      <c r="GB146" s="14"/>
      <c r="GC146" s="14"/>
      <c r="GD146" s="14"/>
      <c r="GE146" s="14"/>
      <c r="GF146" s="14"/>
      <c r="GG146" s="14"/>
      <c r="GH146" s="14"/>
      <c r="GI146" s="14"/>
      <c r="GJ146" s="14"/>
      <c r="GK146" s="14"/>
      <c r="GL146" s="14"/>
      <c r="GM146" s="14"/>
      <c r="GN146" s="14"/>
      <c r="GO146" s="14"/>
      <c r="GP146" s="14"/>
      <c r="GQ146" s="14"/>
      <c r="GR146" s="14"/>
      <c r="GS146" s="14"/>
      <c r="GT146" s="14"/>
      <c r="GU146" s="14"/>
      <c r="GV146" s="14"/>
      <c r="GW146" s="14"/>
      <c r="GX146" s="14"/>
      <c r="GY146" s="14"/>
    </row>
    <row r="147" spans="1:207" s="18" customFormat="1" ht="13.5" customHeight="1" x14ac:dyDescent="0.3">
      <c r="A147" s="19"/>
      <c r="B147" s="19" t="s">
        <v>69</v>
      </c>
      <c r="C147" s="19"/>
      <c r="D147" s="19"/>
      <c r="E147" s="19"/>
      <c r="F147" s="19"/>
      <c r="G147" s="24"/>
      <c r="H147" s="35">
        <f>$H141/H146</f>
        <v>0.79138333825416562</v>
      </c>
      <c r="I147" s="19" t="s">
        <v>68</v>
      </c>
      <c r="J147" s="37">
        <v>1.8</v>
      </c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14"/>
      <c r="DU147" s="14"/>
      <c r="DV147" s="14"/>
      <c r="DW147" s="14"/>
      <c r="DX147" s="14"/>
      <c r="DY147" s="14"/>
      <c r="DZ147" s="14"/>
      <c r="EA147" s="14"/>
      <c r="EB147" s="14"/>
      <c r="EC147" s="14"/>
      <c r="ED147" s="14"/>
      <c r="EE147" s="14"/>
      <c r="EF147" s="14"/>
      <c r="EG147" s="14"/>
      <c r="EH147" s="14"/>
      <c r="EI147" s="14"/>
      <c r="EJ147" s="14"/>
      <c r="EK147" s="14"/>
      <c r="EL147" s="14"/>
      <c r="EM147" s="14"/>
      <c r="EN147" s="14"/>
      <c r="EO147" s="14"/>
      <c r="EP147" s="14"/>
      <c r="EQ147" s="14"/>
      <c r="ER147" s="14"/>
      <c r="ES147" s="14"/>
      <c r="ET147" s="14"/>
      <c r="EU147" s="14"/>
      <c r="EV147" s="14"/>
      <c r="EW147" s="14"/>
      <c r="EX147" s="14"/>
      <c r="EY147" s="14"/>
      <c r="EZ147" s="14"/>
      <c r="FA147" s="14"/>
      <c r="FB147" s="14"/>
      <c r="FC147" s="14"/>
      <c r="FD147" s="14"/>
      <c r="FE147" s="14"/>
      <c r="FF147" s="14"/>
      <c r="FG147" s="14"/>
      <c r="FH147" s="14"/>
      <c r="FI147" s="14"/>
      <c r="FJ147" s="14"/>
      <c r="FK147" s="14"/>
      <c r="FL147" s="14"/>
      <c r="FM147" s="14"/>
      <c r="FN147" s="14"/>
      <c r="FO147" s="14"/>
      <c r="FP147" s="14"/>
      <c r="FQ147" s="14"/>
      <c r="FR147" s="14"/>
      <c r="FS147" s="14"/>
      <c r="FT147" s="14"/>
      <c r="FU147" s="14"/>
      <c r="FV147" s="14"/>
      <c r="FW147" s="14"/>
      <c r="FX147" s="14"/>
      <c r="FY147" s="14"/>
      <c r="FZ147" s="14"/>
      <c r="GA147" s="14"/>
      <c r="GB147" s="14"/>
      <c r="GC147" s="14"/>
      <c r="GD147" s="14"/>
      <c r="GE147" s="14"/>
      <c r="GF147" s="14"/>
      <c r="GG147" s="14"/>
      <c r="GH147" s="14"/>
      <c r="GI147" s="14"/>
      <c r="GJ147" s="14"/>
      <c r="GK147" s="14"/>
      <c r="GL147" s="14"/>
      <c r="GM147" s="14"/>
      <c r="GN147" s="14"/>
      <c r="GO147" s="14"/>
      <c r="GP147" s="14"/>
      <c r="GQ147" s="14"/>
      <c r="GR147" s="14"/>
      <c r="GS147" s="14"/>
      <c r="GT147" s="14"/>
      <c r="GU147" s="14"/>
      <c r="GV147" s="14"/>
      <c r="GW147" s="14"/>
      <c r="GX147" s="14"/>
      <c r="GY147" s="14"/>
    </row>
    <row r="148" spans="1:207" s="18" customFormat="1" ht="13.5" customHeight="1" x14ac:dyDescent="0.3">
      <c r="A148" s="19"/>
      <c r="B148" s="19"/>
      <c r="C148" s="19"/>
      <c r="D148" s="21"/>
      <c r="E148" s="19"/>
      <c r="F148" s="19"/>
      <c r="G148" s="19"/>
      <c r="H148" s="19"/>
      <c r="I148" s="19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14"/>
      <c r="DQ148" s="14"/>
      <c r="DR148" s="14"/>
      <c r="DS148" s="14"/>
      <c r="DT148" s="14"/>
      <c r="DU148" s="14"/>
      <c r="DV148" s="14"/>
      <c r="DW148" s="14"/>
      <c r="DX148" s="14"/>
      <c r="DY148" s="14"/>
      <c r="DZ148" s="14"/>
      <c r="EA148" s="14"/>
      <c r="EB148" s="14"/>
      <c r="EC148" s="14"/>
      <c r="ED148" s="14"/>
      <c r="EE148" s="14"/>
      <c r="EF148" s="14"/>
      <c r="EG148" s="14"/>
      <c r="EH148" s="14"/>
      <c r="EI148" s="14"/>
      <c r="EJ148" s="14"/>
      <c r="EK148" s="14"/>
      <c r="EL148" s="14"/>
      <c r="EM148" s="14"/>
      <c r="EN148" s="14"/>
      <c r="EO148" s="14"/>
      <c r="EP148" s="14"/>
      <c r="EQ148" s="14"/>
      <c r="ER148" s="14"/>
      <c r="ES148" s="14"/>
      <c r="ET148" s="14"/>
      <c r="EU148" s="14"/>
      <c r="EV148" s="14"/>
      <c r="EW148" s="14"/>
      <c r="EX148" s="14"/>
      <c r="EY148" s="14"/>
      <c r="EZ148" s="14"/>
      <c r="FA148" s="14"/>
      <c r="FB148" s="14"/>
      <c r="FC148" s="14"/>
      <c r="FD148" s="14"/>
      <c r="FE148" s="14"/>
      <c r="FF148" s="14"/>
      <c r="FG148" s="14"/>
      <c r="FH148" s="14"/>
      <c r="FI148" s="14"/>
      <c r="FJ148" s="14"/>
      <c r="FK148" s="14"/>
      <c r="FL148" s="14"/>
      <c r="FM148" s="14"/>
      <c r="FN148" s="14"/>
      <c r="FO148" s="14"/>
      <c r="FP148" s="14"/>
      <c r="FQ148" s="14"/>
      <c r="FR148" s="14"/>
      <c r="FS148" s="14"/>
      <c r="FT148" s="14"/>
      <c r="FU148" s="14"/>
      <c r="FV148" s="14"/>
      <c r="FW148" s="14"/>
      <c r="FX148" s="14"/>
      <c r="FY148" s="14"/>
      <c r="FZ148" s="14"/>
      <c r="GA148" s="14"/>
      <c r="GB148" s="14"/>
      <c r="GC148" s="14"/>
      <c r="GD148" s="14"/>
      <c r="GE148" s="14"/>
      <c r="GF148" s="14"/>
      <c r="GG148" s="14"/>
      <c r="GH148" s="14"/>
      <c r="GI148" s="14"/>
      <c r="GJ148" s="14"/>
      <c r="GK148" s="14"/>
      <c r="GL148" s="14"/>
      <c r="GM148" s="14"/>
      <c r="GN148" s="14"/>
      <c r="GO148" s="14"/>
      <c r="GP148" s="14"/>
      <c r="GQ148" s="14"/>
      <c r="GR148" s="14"/>
      <c r="GS148" s="14"/>
      <c r="GT148" s="14"/>
      <c r="GU148" s="14"/>
      <c r="GV148" s="14"/>
      <c r="GW148" s="14"/>
      <c r="GX148" s="14"/>
      <c r="GY148" s="14"/>
    </row>
    <row r="149" spans="1:207" s="18" customFormat="1" ht="13.5" customHeight="1" x14ac:dyDescent="0.3">
      <c r="A149" s="19"/>
      <c r="B149" s="36" t="s">
        <v>67</v>
      </c>
      <c r="C149" s="19"/>
      <c r="D149" s="19"/>
      <c r="E149" s="19"/>
      <c r="F149" s="19"/>
      <c r="G149" s="24"/>
      <c r="H149" s="19"/>
      <c r="I149" s="35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14"/>
      <c r="DQ149" s="14"/>
      <c r="DR149" s="14"/>
      <c r="DS149" s="14"/>
      <c r="DT149" s="14"/>
      <c r="DU149" s="14"/>
      <c r="DV149" s="14"/>
      <c r="DW149" s="14"/>
      <c r="DX149" s="14"/>
      <c r="DY149" s="14"/>
      <c r="DZ149" s="14"/>
      <c r="EA149" s="14"/>
      <c r="EB149" s="14"/>
      <c r="EC149" s="14"/>
      <c r="ED149" s="14"/>
      <c r="EE149" s="14"/>
      <c r="EF149" s="14"/>
      <c r="EG149" s="14"/>
      <c r="EH149" s="14"/>
      <c r="EI149" s="14"/>
      <c r="EJ149" s="14"/>
      <c r="EK149" s="14"/>
      <c r="EL149" s="14"/>
      <c r="EM149" s="14"/>
      <c r="EN149" s="14"/>
      <c r="EO149" s="14"/>
      <c r="EP149" s="14"/>
      <c r="EQ149" s="14"/>
      <c r="ER149" s="14"/>
      <c r="ES149" s="14"/>
      <c r="ET149" s="14"/>
      <c r="EU149" s="14"/>
      <c r="EV149" s="14"/>
      <c r="EW149" s="14"/>
      <c r="EX149" s="14"/>
      <c r="EY149" s="14"/>
      <c r="EZ149" s="14"/>
      <c r="FA149" s="14"/>
      <c r="FB149" s="14"/>
      <c r="FC149" s="14"/>
      <c r="FD149" s="14"/>
      <c r="FE149" s="14"/>
      <c r="FF149" s="14"/>
      <c r="FG149" s="14"/>
      <c r="FH149" s="14"/>
      <c r="FI149" s="14"/>
      <c r="FJ149" s="14"/>
      <c r="FK149" s="14"/>
      <c r="FL149" s="14"/>
      <c r="FM149" s="14"/>
      <c r="FN149" s="14"/>
      <c r="FO149" s="14"/>
      <c r="FP149" s="14"/>
      <c r="FQ149" s="14"/>
      <c r="FR149" s="14"/>
      <c r="FS149" s="14"/>
      <c r="FT149" s="14"/>
      <c r="FU149" s="14"/>
      <c r="FV149" s="14"/>
      <c r="FW149" s="14"/>
      <c r="FX149" s="14"/>
      <c r="FY149" s="14"/>
      <c r="FZ149" s="14"/>
      <c r="GA149" s="14"/>
      <c r="GB149" s="14"/>
      <c r="GC149" s="14"/>
      <c r="GD149" s="14"/>
      <c r="GE149" s="14"/>
      <c r="GF149" s="14"/>
      <c r="GG149" s="14"/>
      <c r="GH149" s="14"/>
      <c r="GI149" s="14"/>
      <c r="GJ149" s="14"/>
      <c r="GK149" s="14"/>
      <c r="GL149" s="14"/>
      <c r="GM149" s="14"/>
      <c r="GN149" s="14"/>
      <c r="GO149" s="14"/>
      <c r="GP149" s="14"/>
      <c r="GQ149" s="14"/>
      <c r="GR149" s="14"/>
      <c r="GS149" s="14"/>
      <c r="GT149" s="14"/>
      <c r="GU149" s="14"/>
      <c r="GV149" s="14"/>
      <c r="GW149" s="14"/>
      <c r="GX149" s="14"/>
      <c r="GY149" s="14"/>
    </row>
    <row r="150" spans="1:207" s="18" customFormat="1" ht="13.5" customHeight="1" x14ac:dyDescent="0.3">
      <c r="A150" s="19"/>
      <c r="B150" s="24" t="s">
        <v>66</v>
      </c>
      <c r="C150" s="24"/>
      <c r="D150" s="24"/>
      <c r="E150" s="24"/>
      <c r="F150" s="19"/>
      <c r="G150" s="24"/>
      <c r="H150" s="26">
        <v>125</v>
      </c>
      <c r="I150" s="24" t="s">
        <v>65</v>
      </c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14"/>
      <c r="DQ150" s="14"/>
      <c r="DR150" s="14"/>
      <c r="DS150" s="14"/>
      <c r="DT150" s="14"/>
      <c r="DU150" s="14"/>
      <c r="DV150" s="14"/>
      <c r="DW150" s="14"/>
      <c r="DX150" s="14"/>
      <c r="DY150" s="14"/>
      <c r="DZ150" s="14"/>
      <c r="EA150" s="14"/>
      <c r="EB150" s="14"/>
      <c r="EC150" s="14"/>
      <c r="ED150" s="14"/>
      <c r="EE150" s="14"/>
      <c r="EF150" s="14"/>
      <c r="EG150" s="14"/>
      <c r="EH150" s="14"/>
      <c r="EI150" s="14"/>
      <c r="EJ150" s="14"/>
      <c r="EK150" s="14"/>
      <c r="EL150" s="14"/>
      <c r="EM150" s="14"/>
      <c r="EN150" s="14"/>
      <c r="EO150" s="14"/>
      <c r="EP150" s="14"/>
      <c r="EQ150" s="14"/>
      <c r="ER150" s="14"/>
      <c r="ES150" s="14"/>
      <c r="ET150" s="14"/>
      <c r="EU150" s="14"/>
      <c r="EV150" s="14"/>
      <c r="EW150" s="14"/>
      <c r="EX150" s="14"/>
      <c r="EY150" s="14"/>
      <c r="EZ150" s="14"/>
      <c r="FA150" s="14"/>
      <c r="FB150" s="14"/>
      <c r="FC150" s="14"/>
      <c r="FD150" s="14"/>
      <c r="FE150" s="14"/>
      <c r="FF150" s="14"/>
      <c r="FG150" s="14"/>
      <c r="FH150" s="14"/>
      <c r="FI150" s="14"/>
      <c r="FJ150" s="14"/>
      <c r="FK150" s="14"/>
      <c r="FL150" s="14"/>
      <c r="FM150" s="14"/>
      <c r="FN150" s="14"/>
      <c r="FO150" s="14"/>
      <c r="FP150" s="14"/>
      <c r="FQ150" s="14"/>
      <c r="FR150" s="14"/>
      <c r="FS150" s="14"/>
      <c r="FT150" s="14"/>
      <c r="FU150" s="14"/>
      <c r="FV150" s="14"/>
      <c r="FW150" s="14"/>
      <c r="FX150" s="14"/>
      <c r="FY150" s="14"/>
      <c r="FZ150" s="14"/>
      <c r="GA150" s="14"/>
      <c r="GB150" s="14"/>
      <c r="GC150" s="14"/>
      <c r="GD150" s="14"/>
      <c r="GE150" s="14"/>
      <c r="GF150" s="14"/>
      <c r="GG150" s="14"/>
      <c r="GH150" s="14"/>
      <c r="GI150" s="14"/>
      <c r="GJ150" s="14"/>
      <c r="GK150" s="14"/>
      <c r="GL150" s="14"/>
      <c r="GM150" s="14"/>
      <c r="GN150" s="14"/>
      <c r="GO150" s="14"/>
      <c r="GP150" s="14"/>
      <c r="GQ150" s="14"/>
      <c r="GR150" s="14"/>
      <c r="GS150" s="14"/>
      <c r="GT150" s="14"/>
      <c r="GU150" s="14"/>
      <c r="GV150" s="14"/>
      <c r="GW150" s="14"/>
      <c r="GX150" s="14"/>
      <c r="GY150" s="14"/>
    </row>
    <row r="151" spans="1:207" s="18" customFormat="1" ht="13.5" customHeight="1" x14ac:dyDescent="0.3">
      <c r="A151" s="19"/>
      <c r="B151" s="32" t="s">
        <v>64</v>
      </c>
      <c r="C151" s="32"/>
      <c r="D151" s="32"/>
      <c r="E151" s="32"/>
      <c r="F151" s="19"/>
      <c r="G151" s="24"/>
      <c r="H151" s="34">
        <v>4.3099999999999996</v>
      </c>
      <c r="I151" s="32" t="s">
        <v>57</v>
      </c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/>
      <c r="FC151" s="14"/>
      <c r="FD151" s="14"/>
      <c r="FE151" s="14"/>
      <c r="FF151" s="14"/>
      <c r="FG151" s="14"/>
      <c r="FH151" s="14"/>
      <c r="FI151" s="14"/>
      <c r="FJ151" s="14"/>
      <c r="FK151" s="14"/>
      <c r="FL151" s="14"/>
      <c r="FM151" s="14"/>
      <c r="FN151" s="14"/>
      <c r="FO151" s="14"/>
      <c r="FP151" s="14"/>
      <c r="FQ151" s="14"/>
      <c r="FR151" s="14"/>
      <c r="FS151" s="14"/>
      <c r="FT151" s="14"/>
      <c r="FU151" s="14"/>
      <c r="FV151" s="14"/>
      <c r="FW151" s="14"/>
      <c r="FX151" s="14"/>
      <c r="FY151" s="14"/>
      <c r="FZ151" s="14"/>
      <c r="GA151" s="14"/>
      <c r="GB151" s="14"/>
      <c r="GC151" s="14"/>
      <c r="GD151" s="14"/>
      <c r="GE151" s="14"/>
      <c r="GF151" s="14"/>
      <c r="GG151" s="14"/>
      <c r="GH151" s="14"/>
      <c r="GI151" s="14"/>
      <c r="GJ151" s="14"/>
      <c r="GK151" s="14"/>
      <c r="GL151" s="14"/>
      <c r="GM151" s="14"/>
      <c r="GN151" s="14"/>
      <c r="GO151" s="14"/>
      <c r="GP151" s="14"/>
      <c r="GQ151" s="14"/>
      <c r="GR151" s="14"/>
      <c r="GS151" s="14"/>
      <c r="GT151" s="14"/>
      <c r="GU151" s="14"/>
      <c r="GV151" s="14"/>
      <c r="GW151" s="14"/>
      <c r="GX151" s="14"/>
      <c r="GY151" s="14"/>
    </row>
    <row r="152" spans="1:207" s="18" customFormat="1" ht="13.5" customHeight="1" x14ac:dyDescent="0.3">
      <c r="A152" s="19"/>
      <c r="B152" s="32" t="s">
        <v>63</v>
      </c>
      <c r="C152" s="32"/>
      <c r="D152" s="32"/>
      <c r="E152" s="19"/>
      <c r="F152" s="19"/>
      <c r="G152" s="24"/>
      <c r="H152" s="19"/>
      <c r="I152" s="19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14"/>
      <c r="DQ152" s="14"/>
      <c r="DR152" s="14"/>
      <c r="DS152" s="14"/>
      <c r="DT152" s="14"/>
      <c r="DU152" s="14"/>
      <c r="DV152" s="14"/>
      <c r="DW152" s="14"/>
      <c r="DX152" s="14"/>
      <c r="DY152" s="14"/>
      <c r="DZ152" s="14"/>
      <c r="EA152" s="14"/>
      <c r="EB152" s="14"/>
      <c r="EC152" s="14"/>
      <c r="ED152" s="14"/>
      <c r="EE152" s="14"/>
      <c r="EF152" s="14"/>
      <c r="EG152" s="14"/>
      <c r="EH152" s="14"/>
      <c r="EI152" s="14"/>
      <c r="EJ152" s="14"/>
      <c r="EK152" s="14"/>
      <c r="EL152" s="14"/>
      <c r="EM152" s="14"/>
      <c r="EN152" s="14"/>
      <c r="EO152" s="14"/>
      <c r="EP152" s="14"/>
      <c r="EQ152" s="14"/>
      <c r="ER152" s="14"/>
      <c r="ES152" s="14"/>
      <c r="ET152" s="14"/>
      <c r="EU152" s="14"/>
      <c r="EV152" s="14"/>
      <c r="EW152" s="14"/>
      <c r="EX152" s="14"/>
      <c r="EY152" s="14"/>
      <c r="EZ152" s="14"/>
      <c r="FA152" s="14"/>
      <c r="FB152" s="14"/>
      <c r="FC152" s="14"/>
      <c r="FD152" s="14"/>
      <c r="FE152" s="14"/>
      <c r="FF152" s="14"/>
      <c r="FG152" s="14"/>
      <c r="FH152" s="14"/>
      <c r="FI152" s="14"/>
      <c r="FJ152" s="14"/>
      <c r="FK152" s="14"/>
      <c r="FL152" s="14"/>
      <c r="FM152" s="14"/>
      <c r="FN152" s="14"/>
      <c r="FO152" s="14"/>
      <c r="FP152" s="14"/>
      <c r="FQ152" s="14"/>
      <c r="FR152" s="14"/>
      <c r="FS152" s="14"/>
      <c r="FT152" s="14"/>
      <c r="FU152" s="14"/>
      <c r="FV152" s="14"/>
      <c r="FW152" s="14"/>
      <c r="FX152" s="14"/>
      <c r="FY152" s="14"/>
      <c r="FZ152" s="14"/>
      <c r="GA152" s="14"/>
      <c r="GB152" s="14"/>
      <c r="GC152" s="14"/>
      <c r="GD152" s="14"/>
      <c r="GE152" s="14"/>
      <c r="GF152" s="14"/>
      <c r="GG152" s="14"/>
      <c r="GH152" s="14"/>
      <c r="GI152" s="14"/>
      <c r="GJ152" s="14"/>
      <c r="GK152" s="14"/>
      <c r="GL152" s="14"/>
      <c r="GM152" s="14"/>
      <c r="GN152" s="14"/>
      <c r="GO152" s="14"/>
      <c r="GP152" s="14"/>
      <c r="GQ152" s="14"/>
      <c r="GR152" s="14"/>
      <c r="GS152" s="14"/>
      <c r="GT152" s="14"/>
      <c r="GU152" s="14"/>
      <c r="GV152" s="14"/>
      <c r="GW152" s="14"/>
      <c r="GX152" s="14"/>
      <c r="GY152" s="14"/>
    </row>
    <row r="153" spans="1:207" s="18" customFormat="1" ht="13.5" customHeight="1" x14ac:dyDescent="0.3">
      <c r="A153" s="19"/>
      <c r="B153" s="32"/>
      <c r="C153" s="32" t="s">
        <v>62</v>
      </c>
      <c r="D153" s="32"/>
      <c r="E153" s="32"/>
      <c r="F153" s="19"/>
      <c r="G153" s="24"/>
      <c r="H153" s="33">
        <f>H141</f>
        <v>1522.8</v>
      </c>
      <c r="I153" s="32" t="s">
        <v>59</v>
      </c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14"/>
      <c r="DU153" s="14"/>
      <c r="DV153" s="14"/>
      <c r="DW153" s="14"/>
      <c r="DX153" s="14"/>
      <c r="DY153" s="14"/>
      <c r="DZ153" s="14"/>
      <c r="EA153" s="14"/>
      <c r="EB153" s="14"/>
      <c r="EC153" s="14"/>
      <c r="ED153" s="14"/>
      <c r="EE153" s="14"/>
      <c r="EF153" s="14"/>
      <c r="EG153" s="14"/>
      <c r="EH153" s="14"/>
      <c r="EI153" s="14"/>
      <c r="EJ153" s="14"/>
      <c r="EK153" s="14"/>
      <c r="EL153" s="14"/>
      <c r="EM153" s="14"/>
      <c r="EN153" s="14"/>
      <c r="EO153" s="14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14"/>
      <c r="FA153" s="14"/>
      <c r="FB153" s="14"/>
      <c r="FC153" s="14"/>
      <c r="FD153" s="14"/>
      <c r="FE153" s="14"/>
      <c r="FF153" s="14"/>
      <c r="FG153" s="14"/>
      <c r="FH153" s="14"/>
      <c r="FI153" s="14"/>
      <c r="FJ153" s="14"/>
      <c r="FK153" s="14"/>
      <c r="FL153" s="14"/>
      <c r="FM153" s="14"/>
      <c r="FN153" s="14"/>
      <c r="FO153" s="14"/>
      <c r="FP153" s="14"/>
      <c r="FQ153" s="14"/>
      <c r="FR153" s="14"/>
      <c r="FS153" s="14"/>
      <c r="FT153" s="14"/>
      <c r="FU153" s="14"/>
      <c r="FV153" s="14"/>
      <c r="FW153" s="14"/>
      <c r="FX153" s="14"/>
      <c r="FY153" s="14"/>
      <c r="FZ153" s="14"/>
      <c r="GA153" s="14"/>
      <c r="GB153" s="14"/>
      <c r="GC153" s="14"/>
      <c r="GD153" s="14"/>
      <c r="GE153" s="14"/>
      <c r="GF153" s="14"/>
      <c r="GG153" s="14"/>
      <c r="GH153" s="14"/>
      <c r="GI153" s="14"/>
      <c r="GJ153" s="14"/>
      <c r="GK153" s="14"/>
      <c r="GL153" s="14"/>
      <c r="GM153" s="14"/>
      <c r="GN153" s="14"/>
      <c r="GO153" s="14"/>
      <c r="GP153" s="14"/>
      <c r="GQ153" s="14"/>
      <c r="GR153" s="14"/>
      <c r="GS153" s="14"/>
      <c r="GT153" s="14"/>
      <c r="GU153" s="14"/>
      <c r="GV153" s="14"/>
      <c r="GW153" s="14"/>
      <c r="GX153" s="14"/>
      <c r="GY153" s="14"/>
    </row>
    <row r="154" spans="1:207" ht="13.5" customHeight="1" x14ac:dyDescent="0.3">
      <c r="A154" s="19"/>
      <c r="B154" s="32"/>
      <c r="C154" s="32" t="s">
        <v>61</v>
      </c>
      <c r="D154" s="32"/>
      <c r="E154" s="19"/>
      <c r="F154" s="19"/>
      <c r="G154" s="24"/>
      <c r="H154" s="33">
        <f>H144*0.5</f>
        <v>1443.1691252428111</v>
      </c>
      <c r="I154" s="32" t="s">
        <v>59</v>
      </c>
    </row>
    <row r="155" spans="1:207" ht="13.5" customHeight="1" x14ac:dyDescent="0.3">
      <c r="A155" s="19"/>
      <c r="B155" s="32"/>
      <c r="C155" s="32" t="s">
        <v>60</v>
      </c>
      <c r="D155" s="32"/>
      <c r="E155" s="19"/>
      <c r="F155" s="19"/>
      <c r="G155" s="24"/>
      <c r="H155" s="33">
        <f>H153+H154</f>
        <v>2965.9691252428111</v>
      </c>
      <c r="I155" s="32" t="s">
        <v>59</v>
      </c>
    </row>
    <row r="156" spans="1:207" ht="13.5" customHeight="1" x14ac:dyDescent="0.3">
      <c r="A156" s="19"/>
      <c r="B156" s="24" t="s">
        <v>7</v>
      </c>
      <c r="C156" s="24"/>
      <c r="D156" s="24"/>
      <c r="E156" s="24"/>
      <c r="F156" s="19"/>
      <c r="G156" s="24"/>
      <c r="H156" s="31">
        <f>H40/1000</f>
        <v>1.3487558695984021</v>
      </c>
      <c r="I156" s="24" t="s">
        <v>49</v>
      </c>
    </row>
    <row r="157" spans="1:207" ht="13.5" customHeight="1" x14ac:dyDescent="0.3">
      <c r="A157" s="19"/>
      <c r="B157" s="27" t="s">
        <v>58</v>
      </c>
      <c r="C157" s="27"/>
      <c r="D157" s="27"/>
      <c r="E157" s="27"/>
      <c r="F157" s="30"/>
      <c r="G157" s="29"/>
      <c r="H157" s="28">
        <f>H156*($H155)/H144</f>
        <v>1.3859665498476568</v>
      </c>
      <c r="I157" s="27" t="s">
        <v>57</v>
      </c>
    </row>
    <row r="158" spans="1:207" ht="13.5" customHeight="1" x14ac:dyDescent="0.3">
      <c r="A158" s="19"/>
      <c r="B158" s="24" t="s">
        <v>56</v>
      </c>
      <c r="C158" s="24"/>
      <c r="D158" s="24"/>
      <c r="E158" s="24"/>
      <c r="F158" s="19"/>
      <c r="G158" s="24"/>
      <c r="H158" s="26">
        <f>H157/H151*100</f>
        <v>32.156996516186936</v>
      </c>
      <c r="I158" s="19" t="s">
        <v>55</v>
      </c>
    </row>
    <row r="159" spans="1:207" ht="13.5" customHeight="1" x14ac:dyDescent="0.3">
      <c r="A159" s="19"/>
      <c r="B159" s="19"/>
      <c r="C159" s="19"/>
      <c r="D159" s="19"/>
      <c r="E159" s="19"/>
      <c r="F159" s="19"/>
      <c r="G159" s="24"/>
      <c r="H159" s="25"/>
      <c r="I159" s="24"/>
    </row>
    <row r="160" spans="1:207" ht="13.5" customHeight="1" x14ac:dyDescent="0.3">
      <c r="A160" s="19"/>
      <c r="B160" s="23" t="s">
        <v>54</v>
      </c>
      <c r="C160" s="21"/>
      <c r="D160" s="21"/>
      <c r="E160" s="19"/>
      <c r="F160" s="20"/>
      <c r="G160" s="19"/>
      <c r="H160" s="19"/>
      <c r="I160" s="19"/>
    </row>
    <row r="161" spans="1:9" ht="13.5" customHeight="1" x14ac:dyDescent="0.3">
      <c r="A161" s="19"/>
      <c r="B161" s="19" t="s">
        <v>53</v>
      </c>
      <c r="C161" s="21"/>
      <c r="D161" s="21"/>
      <c r="E161" s="19"/>
      <c r="F161" s="20"/>
      <c r="G161" s="19"/>
      <c r="H161" s="22">
        <f>1.5*H24/24/3.6</f>
        <v>350.99999999999994</v>
      </c>
      <c r="I161" s="19" t="s">
        <v>42</v>
      </c>
    </row>
    <row r="162" spans="1:9" ht="13.5" customHeight="1" x14ac:dyDescent="0.3">
      <c r="A162" s="19"/>
      <c r="B162" s="19" t="s">
        <v>52</v>
      </c>
      <c r="C162" s="21"/>
      <c r="D162" s="21"/>
      <c r="E162" s="19"/>
      <c r="F162" s="20"/>
      <c r="G162" s="19"/>
      <c r="H162" s="22">
        <f>H144*0.5/3.6</f>
        <v>400.8803125674475</v>
      </c>
      <c r="I162" s="19" t="s">
        <v>42</v>
      </c>
    </row>
    <row r="163" spans="1:9" ht="13.5" customHeight="1" x14ac:dyDescent="0.3">
      <c r="A163" s="19"/>
      <c r="B163" s="19"/>
      <c r="C163" s="19"/>
      <c r="D163" s="21"/>
      <c r="E163" s="19"/>
      <c r="F163" s="20"/>
      <c r="G163" s="19"/>
      <c r="H163" s="19"/>
      <c r="I163" s="19"/>
    </row>
    <row r="164" spans="1:9" ht="13.5" customHeight="1" x14ac:dyDescent="0.35">
      <c r="B164" s="18" t="s">
        <v>51</v>
      </c>
    </row>
    <row r="165" spans="1:9" ht="13.5" customHeight="1" x14ac:dyDescent="0.35">
      <c r="B165" s="14" t="s">
        <v>50</v>
      </c>
      <c r="H165" s="14">
        <v>7</v>
      </c>
      <c r="I165" s="14" t="s">
        <v>49</v>
      </c>
    </row>
    <row r="166" spans="1:9" ht="13.5" customHeight="1" x14ac:dyDescent="0.35">
      <c r="B166" s="14" t="s">
        <v>48</v>
      </c>
      <c r="H166" s="17">
        <f>H39/H33</f>
        <v>1685.7762425143028</v>
      </c>
      <c r="I166" s="14" t="s">
        <v>47</v>
      </c>
    </row>
    <row r="167" spans="1:9" ht="13.5" customHeight="1" x14ac:dyDescent="0.35">
      <c r="B167" s="14" t="s">
        <v>46</v>
      </c>
      <c r="H167" s="17">
        <f>H166/H165</f>
        <v>240.82517750204326</v>
      </c>
      <c r="I167" s="14" t="s">
        <v>45</v>
      </c>
    </row>
    <row r="168" spans="1:9" ht="13.5" customHeight="1" x14ac:dyDescent="0.35">
      <c r="B168" s="14" t="s">
        <v>44</v>
      </c>
      <c r="H168" s="14">
        <v>8</v>
      </c>
      <c r="I168" s="14" t="s">
        <v>43</v>
      </c>
    </row>
    <row r="169" spans="1:9" ht="13.5" customHeight="1" x14ac:dyDescent="0.35">
      <c r="H169" s="16">
        <f>H167/H168/3.6</f>
        <v>8.3619853299320575</v>
      </c>
      <c r="I169" s="14" t="s">
        <v>42</v>
      </c>
    </row>
    <row r="170" spans="1:9" ht="13.5" customHeight="1" x14ac:dyDescent="0.35">
      <c r="B170" s="15" t="s">
        <v>41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62</vt:i4>
      </vt:variant>
    </vt:vector>
  </HeadingPairs>
  <TitlesOfParts>
    <vt:vector size="73" baseType="lpstr">
      <vt:lpstr>Mass Balance</vt:lpstr>
      <vt:lpstr>Energy Balance</vt:lpstr>
      <vt:lpstr>AD-CHP</vt:lpstr>
      <vt:lpstr>AS Plant (DF)</vt:lpstr>
      <vt:lpstr>P-RTC Model</vt:lpstr>
      <vt:lpstr>SRT Control</vt:lpstr>
      <vt:lpstr>STC</vt:lpstr>
      <vt:lpstr>Pumps</vt:lpstr>
      <vt:lpstr>Oxygen Data</vt:lpstr>
      <vt:lpstr>Phosphate Treatment</vt:lpstr>
      <vt:lpstr>ASP</vt:lpstr>
      <vt:lpstr>Alkalinity</vt:lpstr>
      <vt:lpstr>'Phosphate Treatment'!AlRatio</vt:lpstr>
      <vt:lpstr>'Phosphate Treatment'!AtoPAlum</vt:lpstr>
      <vt:lpstr>'Phosphate Treatment'!AtoPNaAluminate</vt:lpstr>
      <vt:lpstr>'Phosphate Treatment'!AtoPPAC</vt:lpstr>
      <vt:lpstr>ByChangingCell</vt:lpstr>
      <vt:lpstr>'Phosphate Treatment'!DenseAlum</vt:lpstr>
      <vt:lpstr>'Phosphate Treatment'!DenseFeCl2</vt:lpstr>
      <vt:lpstr>'Phosphate Treatment'!DenseFeSO4</vt:lpstr>
      <vt:lpstr>'Phosphate Treatment'!DenseNaAluminate</vt:lpstr>
      <vt:lpstr>'Phosphate Treatment'!DensePAC</vt:lpstr>
      <vt:lpstr>'Phosphate Treatment'!FeRatio</vt:lpstr>
      <vt:lpstr>'Phosphate Treatment'!FetoFeCl2</vt:lpstr>
      <vt:lpstr>'Phosphate Treatment'!FetoFeSO4</vt:lpstr>
      <vt:lpstr>g_to_kg</vt:lpstr>
      <vt:lpstr>GoalSeekCell</vt:lpstr>
      <vt:lpstr>'Phosphate Treatment'!LpKgAlum</vt:lpstr>
      <vt:lpstr>'Phosphate Treatment'!LpKgFeCl2</vt:lpstr>
      <vt:lpstr>'Phosphate Treatment'!LpKgFeSO4</vt:lpstr>
      <vt:lpstr>'Phosphate Treatment'!LpKgNaAluminate</vt:lpstr>
      <vt:lpstr>'Phosphate Treatment'!LpKgPAC</vt:lpstr>
      <vt:lpstr>Me_to_P_Ratio</vt:lpstr>
      <vt:lpstr>'Phosphate Treatment'!MeLAlum</vt:lpstr>
      <vt:lpstr>'Phosphate Treatment'!MeLFeCl2</vt:lpstr>
      <vt:lpstr>'Phosphate Treatment'!MeLFeSO4</vt:lpstr>
      <vt:lpstr>'Phosphate Treatment'!MeLNaAluminate</vt:lpstr>
      <vt:lpstr>'Phosphate Treatment'!MeLPAC</vt:lpstr>
      <vt:lpstr>'Phosphate Treatment'!mg_to_grams</vt:lpstr>
      <vt:lpstr>'Phosphate Treatment'!MWAl</vt:lpstr>
      <vt:lpstr>'Phosphate Treatment'!MWAlum</vt:lpstr>
      <vt:lpstr>'Phosphate Treatment'!MWCa</vt:lpstr>
      <vt:lpstr>'Phosphate Treatment'!MWCl</vt:lpstr>
      <vt:lpstr>'Phosphate Treatment'!MWFe</vt:lpstr>
      <vt:lpstr>'Phosphate Treatment'!MWFerricCl</vt:lpstr>
      <vt:lpstr>'Phosphate Treatment'!MWFerricSO4</vt:lpstr>
      <vt:lpstr>'Phosphate Treatment'!MWH</vt:lpstr>
      <vt:lpstr>'Phosphate Treatment'!MWLime</vt:lpstr>
      <vt:lpstr>'Phosphate Treatment'!MWNa</vt:lpstr>
      <vt:lpstr>'Phosphate Treatment'!MWO</vt:lpstr>
      <vt:lpstr>'Phosphate Treatment'!MWP</vt:lpstr>
      <vt:lpstr>'Phosphate Treatment'!MWPAC</vt:lpstr>
      <vt:lpstr>'Phosphate Treatment'!MWS</vt:lpstr>
      <vt:lpstr>'Phosphate Treatment'!MWSlaked</vt:lpstr>
      <vt:lpstr>'Phosphate Treatment'!MWSodiumAluminate</vt:lpstr>
      <vt:lpstr>'Phosphate Treatment'!Peff</vt:lpstr>
      <vt:lpstr>'Phosphate Treatment'!percent_to_mgperliter</vt:lpstr>
      <vt:lpstr>'Phosphate Treatment'!PercentAlum</vt:lpstr>
      <vt:lpstr>'Phosphate Treatment'!PercentFeCl2</vt:lpstr>
      <vt:lpstr>'Phosphate Treatment'!PercentFeSO4</vt:lpstr>
      <vt:lpstr>'Phosphate Treatment'!PercentNaAluminate</vt:lpstr>
      <vt:lpstr>'Phosphate Treatment'!PercentPAC</vt:lpstr>
      <vt:lpstr>'Phosphate Treatment'!Pini</vt:lpstr>
      <vt:lpstr>'Phosphate Treatment'!Print_Area</vt:lpstr>
      <vt:lpstr>'P-RTC Model'!Print_Area</vt:lpstr>
      <vt:lpstr>'Phosphate Treatment'!Qinf</vt:lpstr>
      <vt:lpstr>'Phosphate Treatment'!QinfMetric</vt:lpstr>
      <vt:lpstr>TargetCell</vt:lpstr>
      <vt:lpstr>'Phosphate Treatment'!WeightAlum</vt:lpstr>
      <vt:lpstr>'Phosphate Treatment'!WeightFeCl2</vt:lpstr>
      <vt:lpstr>'Phosphate Treatment'!WeightFeSO4</vt:lpstr>
      <vt:lpstr>'Phosphate Treatment'!WeightNaAluminate</vt:lpstr>
      <vt:lpstr>'Phosphate Treatment'!WeightPAC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DFraser</dc:creator>
  <cp:lastModifiedBy>Daniel</cp:lastModifiedBy>
  <cp:lastPrinted>2017-05-23T13:10:44Z</cp:lastPrinted>
  <dcterms:created xsi:type="dcterms:W3CDTF">2016-02-19T19:17:04Z</dcterms:created>
  <dcterms:modified xsi:type="dcterms:W3CDTF">2021-10-01T21:44:16Z</dcterms:modified>
</cp:coreProperties>
</file>